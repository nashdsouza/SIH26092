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1812e1174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fd99884188d458c"/>
    <x:sheet xmlns:r="http://schemas.openxmlformats.org/officeDocument/2006/relationships" name="Dashboard" sheetId="2" r:id="R84f61623768142b0"/>
    <x:sheet xmlns:r="http://schemas.openxmlformats.org/officeDocument/2006/relationships" name="Scheme Catalog" sheetId="3" r:id="Rd113c90302d64f96"/>
    <x:sheet xmlns:r="http://schemas.openxmlformats.org/officeDocument/2006/relationships" name="Scheme Rules" sheetId="4" r:id="R8759c55a153d4cad"/>
    <x:sheet xmlns:r="http://schemas.openxmlformats.org/officeDocument/2006/relationships" name="Profile Fields" sheetId="5" r:id="Raf8e7958b29747af"/>
    <x:sheet xmlns:r="http://schemas.openxmlformats.org/officeDocument/2006/relationships" name="Document Checklist" sheetId="6" r:id="R7f0357824ecf4ec2"/>
    <x:sheet xmlns:r="http://schemas.openxmlformats.org/officeDocument/2006/relationships" name="Source Register" sheetId="7" r:id="Rcb6449a435a648ed"/>
    <x:sheet xmlns:r="http://schemas.openxmlformats.org/officeDocument/2006/relationships" name="State Expansion" sheetId="8" r:id="R1a049499c54b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8"/>
      <x:color rgb="FFFFFFFF"/>
      <x:name val="Aptos"/>
    </x:font>
    <x:font>
      <x:i/>
      <x:sz val="10"/>
      <x:color rgb="FF13315C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11"/>
      <x:color rgb="FF13315C"/>
      <x:name val="Aptos"/>
    </x:font>
    <x:font>
      <x:b/>
      <x:sz val="10"/>
      <x:color rgb="FF13315C"/>
      <x:name val="Aptos"/>
    </x:font>
    <x:font>
      <x:b/>
      <x:sz val="10"/>
      <x:color rgb="FF1F2937"/>
      <x:name val="Aptos"/>
    </x:font>
    <x:font>
      <x:b/>
      <x:sz val="9"/>
      <x:color rgb="FF1F2937"/>
      <x:name val="Aptos"/>
    </x:font>
    <x:font>
      <x:sz val="9"/>
      <x:color rgb="FF1F2937"/>
      <x:name val="Aptos"/>
    </x:font>
    <x:font>
      <x:b/>
      <x:sz val="20"/>
      <x:color rgb="FF0F766E"/>
      <x:name val="Aptos"/>
    </x:font>
    <x:font>
      <x:sz val="9"/>
      <x:color rgb="FF64748B"/>
      <x:name val="Aptos"/>
    </x:font>
    <x:font>
      <x:b/>
      <x:sz val="14"/>
      <x:color rgb="FF0F766E"/>
      <x:name val="Aptos"/>
    </x:font>
    <x:font>
      <x:b/>
      <x:sz val="11"/>
      <x:color rgb="FF92400E"/>
      <x:name val="Aptos"/>
    </x:font>
    <x:font>
      <x:sz val="11"/>
      <x:color rgb="FF13315C"/>
      <x:name val="Aptos"/>
    </x:font>
    <x:font>
      <x:sz val="9"/>
      <x:color rgb="FF47556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3315C"/>
      </x:patternFill>
    </x:fill>
    <x:fill>
      <x:patternFill patternType="solid">
        <x:fgColor rgb="FFE8F1FB"/>
      </x:patternFill>
    </x:fill>
    <x:fill>
      <x:patternFill patternType="solid">
        <x:fgColor rgb="FFD97706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bottom style="thin">
        <x:color rgb="FFD7DEE8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/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200" fontId="9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200" fontId="9" fillId="0" borderId="7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10" fillId="6" borderId="11" xfId="0" applyNumberFormat="1" applyFont="1" applyFill="1" applyBorder="1" applyAlignment="1">
      <x:alignment horizontal="center" vertical="center"/>
    </x:xf>
    <x:xf numFmtId="0" fontId="10" fillId="6" borderId="12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 wrapText="1"/>
    </x:xf>
    <x:xf numFmtId="0" fontId="11" fillId="7" borderId="13" xfId="0" applyNumberFormat="1" applyFont="1" applyFill="1" applyBorder="1" applyAlignment="1">
      <x:alignment horizontal="center" vertical="center" wrapText="1"/>
    </x:xf>
    <x:xf numFmtId="0" fontId="11" fillId="7" borderId="2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vertical="top" wrapText="1"/>
    </x:xf>
    <x:xf numFmtId="0" fontId="12" fillId="6" borderId="9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horizontal="center" vertical="top" wrapText="1"/>
    </x:xf>
    <x:xf numFmtId="0" fontId="12" fillId="6" borderId="1" xfId="0" applyNumberFormat="1" applyFont="1" applyFill="1" applyBorder="1" applyAlignment="1">
      <x:alignment horizontal="center" vertical="top" wrapText="1"/>
    </x:xf>
    <x:xf numFmtId="0" fontId="12" fillId="6" borderId="9" xfId="0" applyNumberFormat="1" applyFont="1" applyFill="1" applyBorder="1" applyAlignment="1">
      <x:alignment horizontal="center" vertical="top" wrapText="1"/>
    </x:xf>
    <x:xf numFmtId="0" fontId="7" fillId="6" borderId="8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9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12" fillId="6" borderId="3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vertical="top" wrapText="1"/>
    </x:xf>
    <x:xf numFmtId="0" fontId="12" fillId="6" borderId="7" xfId="0" applyNumberFormat="1" applyFont="1" applyFill="1" applyBorder="1" applyAlignment="1">
      <x:alignment vertical="top" wrapText="1"/>
    </x:xf>
    <x:xf numFmtId="0" fontId="12" fillId="6" borderId="3" xfId="0" applyNumberFormat="1" applyFont="1" applyFill="1" applyBorder="1" applyAlignment="1">
      <x:alignment horizontal="center" vertical="top" wrapText="1"/>
    </x:xf>
    <x:xf numFmtId="0" fontId="12" fillId="6" borderId="5" xfId="0" applyNumberFormat="1" applyFont="1" applyFill="1" applyBorder="1" applyAlignment="1">
      <x:alignment horizontal="center" vertical="top" wrapText="1"/>
    </x:xf>
    <x:xf numFmtId="0" fontId="12" fillId="6" borderId="7" xfId="0" applyNumberFormat="1" applyFont="1" applyFill="1" applyBorder="1" applyAlignment="1">
      <x:alignment horizontal="center"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7" fillId="6" borderId="5" xfId="0" applyNumberFormat="1" applyFont="1" applyFill="1" applyBorder="1" applyAlignment="1">
      <x:alignment horizontal="center" vertical="top" wrapText="1"/>
    </x:xf>
    <x:xf numFmtId="0" fontId="7" fillId="6" borderId="7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5" fillId="0" borderId="5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horizontal="center" vertical="top" wrapText="1"/>
    </x:xf>
    <x:xf numFmtId="0" fontId="8" fillId="6" borderId="1" xfId="0" applyNumberFormat="1" applyFont="1" applyFill="1" applyBorder="1" applyAlignment="1">
      <x:alignment horizontal="center" vertical="top" wrapText="1"/>
    </x:xf>
    <x:xf numFmtId="0" fontId="8" fillId="6" borderId="9" xfId="0" applyNumberFormat="1" applyFont="1" applyFill="1" applyBorder="1" applyAlignment="1">
      <x:alignment horizontal="center" vertical="top" wrapText="1"/>
    </x:xf>
    <x:xf numFmtId="0" fontId="8" fillId="6" borderId="3" xfId="0" applyNumberFormat="1" applyFont="1" applyFill="1" applyBorder="1" applyAlignment="1">
      <x:alignment horizontal="center" vertical="top" wrapText="1"/>
    </x:xf>
    <x:xf numFmtId="0" fontId="8" fillId="6" borderId="5" xfId="0" applyNumberFormat="1" applyFont="1" applyFill="1" applyBorder="1" applyAlignment="1">
      <x:alignment horizontal="center" vertical="top" wrapText="1"/>
    </x:xf>
    <x:xf numFmtId="0" fontId="8" fillId="6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65F46"/>
      </x:font>
      <x:fill>
        <x:patternFill patternType="solid">
          <x:bgColor rgb="FFE6F4F1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65F46"/>
      </x:font>
      <x:fill>
        <x:patternFill patternType="solid">
          <x:bgColor rgb="FFE6F4F1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89b3dc02846c2" /><Relationship Type="http://schemas.openxmlformats.org/officeDocument/2006/relationships/theme" Target="/xl/theme/theme1.xml" Id="Raff72bb54e12404d" /><Relationship Type="http://schemas.openxmlformats.org/officeDocument/2006/relationships/sharedStrings" Target="/xl/sharedStrings.xml" Id="Rf58d7125e2744aa6" /><Relationship Type="http://schemas.openxmlformats.org/officeDocument/2006/relationships/worksheet" Target="/xl/worksheets/sheet1.xml" Id="R9fd99884188d458c" /><Relationship Type="http://schemas.openxmlformats.org/officeDocument/2006/relationships/worksheet" Target="/xl/worksheets/sheet2.xml" Id="R84f61623768142b0" /><Relationship Type="http://schemas.openxmlformats.org/officeDocument/2006/relationships/worksheet" Target="/xl/worksheets/sheet3.xml" Id="Rd113c90302d64f96" /><Relationship Type="http://schemas.openxmlformats.org/officeDocument/2006/relationships/worksheet" Target="/xl/worksheets/sheet4.xml" Id="R8759c55a153d4cad" /><Relationship Type="http://schemas.openxmlformats.org/officeDocument/2006/relationships/worksheet" Target="/xl/worksheets/sheet5.xml" Id="Raf8e7958b29747af" /><Relationship Type="http://schemas.openxmlformats.org/officeDocument/2006/relationships/worksheet" Target="/xl/worksheets/sheet6.xml" Id="R7f0357824ecf4ec2" /><Relationship Type="http://schemas.openxmlformats.org/officeDocument/2006/relationships/worksheet" Target="/xl/worksheets/sheet7.xml" Id="Rcb6449a435a648ed" /><Relationship Type="http://schemas.openxmlformats.org/officeDocument/2006/relationships/worksheet" Target="/xl/worksheets/sheet8.xml" Id="R1a049499c54b4e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558c487c6d42e9" /><Relationship Type="http://schemas.openxmlformats.org/officeDocument/2006/relationships/chart" Target="/xl/drawings/charts/chart2.xml" Id="R37100b04fcf142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Catalogue status mix</a:t>
            </a:r>
          </a:p>
        </c:rich>
      </c:tx>
      <c:overlay val="0"/>
    </c:title>
    <c:plotArea>
      <c:doughnutChart>
        <c:ser>
          <c:idx val="0"/>
          <c:order val="0"/>
          <c:tx>
            <c:v>Count</c:v>
          </c:tx>
          <c:cat>
            <c:strRef>
              <c:f>'Dashboard'!$L$20:$L$23</c:f>
              <c:strCache>
                <c:ptCount val="0"/>
              </c:strCache>
            </c:strRef>
          </c:cat>
          <c:val>
            <c:numRef>
              <c:f>'Dashboard'!$M$20:$M$23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Pathway coverage by scheme type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'Dashboard'!$I$20:$I$25</c:f>
              <c:strCache>
                <c:ptCount val="0"/>
              </c:strCache>
            </c:strRef>
          </c:cat>
          <c:val>
            <c:numRef>
              <c:f>'Dashboard'!$J$20:$J$25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58c487c6d42e9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100b04fcf142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DashboardTargetMixTable" displayName="DashboardTargetMixTable" ref="A19:D24" headerRowCount="1" totalsRowCount="0" totalsRowShown="0">
  <x:autoFilter ref="A19:D24"/>
  <x:tableColumns count="4">
    <x:tableColumn id="1" name="Target Group"/>
    <x:tableColumn id="2" name="Count"/>
    <x:tableColumn id="3" name="Targeted / priority?"/>
    <x:tableColumn id="4" name="Formula driv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DashboardStatusTable" displayName="DashboardStatusTable" ref="F19:G23" headerRowCount="1" totalsRowCount="0" totalsRowShown="0">
  <x:autoFilter ref="F19:G23"/>
  <x:tableColumns count="2">
    <x:tableColumn id="1" name="Lifecycle Status"/>
    <x:tableColumn id="2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DashboardTypeTable" displayName="DashboardTypeTable" ref="I19:J25" headerRowCount="1" totalsRowCount="0" totalsRowShown="0">
  <x:autoFilter ref="I19:J25"/>
  <x:tableColumns count="2">
    <x:tableColumn id="1" name="Scheme Type"/>
    <x:tableColumn id="2" name="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chemeCatalogTable" displayName="SchemeCatalogTable" ref="A5:V41" headerRowCount="1" totalsRowCount="0" totalsRowShown="0">
  <x:autoFilter ref="A5:V41"/>
  <x:tableColumns count="22">
    <x:tableColumn id="1" name="Scheme ID"/>
    <x:tableColumn id="2" name="Scheme / Component"/>
    <x:tableColumn id="3" name="Short Name"/>
    <x:tableColumn id="4" name="Nodal Ministry / Implementer"/>
    <x:tableColumn id="5" name="Target Group"/>
    <x:tableColumn id="6" name="Audience / Entity"/>
    <x:tableColumn id="7" name="Scheme Type"/>
    <x:tableColumn id="8" name="Lifecycle Status"/>
    <x:tableColumn id="9" name="Application Signal"/>
    <x:tableColumn id="10" name="Purpose / Use Case"/>
    <x:tableColumn id="11" name="Benefit Summary"/>
    <x:tableColumn id="12" name="Quantitative Cap / Rate"/>
    <x:tableColumn id="13" name="Key Hard Signals"/>
    <x:tableColumn id="14" name="Conditional / Verification Signals"/>
    <x:tableColumn id="15" name="Typical Documents"/>
    <x:tableColumn id="16" name="How to Apply / Route"/>
    <x:tableColumn id="17" name="Official Portal URL"/>
    <x:tableColumn id="18" name="Guidance / Evidence URL"/>
    <x:tableColumn id="19" name="Source Class"/>
    <x:tableColumn id="20" name="Engine Classification"/>
    <x:tableColumn id="21" name="Project Relevance"/>
    <x:tableColumn id="22" name="Last Verifi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SchemeRulesTable" displayName="SchemeRulesTable" ref="A5:K66" headerRowCount="1" totalsRowCount="0" totalsRowShown="0">
  <x:autoFilter ref="A5:K66"/>
  <x:tableColumns count="11">
    <x:tableColumn id="1" name="Rule ID"/>
    <x:tableColumn id="2" name="Scheme ID"/>
    <x:tableColumn id="3" name="Component"/>
    <x:tableColumn id="4" name="Rule Class"/>
    <x:tableColumn id="5" name="Profile Field"/>
    <x:tableColumn id="6" name="Operator"/>
    <x:tableColumn id="7" name="Value / Logic"/>
    <x:tableColumn id="8" name="Plain-English Requirement"/>
    <x:tableColumn id="9" name="Engine Effect"/>
    <x:tableColumn id="10" name="Implementation Note"/>
    <x:tableColumn id="11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ProfileFieldsTable" displayName="ProfileFieldsTable" ref="A5:G31" headerRowCount="1" totalsRowCount="0" totalsRowShown="0">
  <x:autoFilter ref="A5:G31"/>
  <x:tableColumns count="7">
    <x:tableColumn id="1" name="Field Key"/>
    <x:tableColumn id="2" name="Label"/>
    <x:tableColumn id="3" name="Data Type"/>
    <x:tableColumn id="4" name="Allowed / Format"/>
    <x:tableColumn id="5" name="Used By"/>
    <x:tableColumn id="6" name="Evidence / Document"/>
    <x:tableColumn id="7" name="Engin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DocumentChecklistTable" displayName="DocumentChecklistTable" ref="A5:G40" headerRowCount="1" totalsRowCount="0" totalsRowShown="0">
  <x:autoFilter ref="A5:G40"/>
  <x:tableColumns count="7">
    <x:tableColumn id="1" name="Scheme ID"/>
    <x:tableColumn id="2" name="Scheme"/>
    <x:tableColumn id="3" name="Document / Proof"/>
    <x:tableColumn id="4" name="Requirement"/>
    <x:tableColumn id="5" name="Why It Matters"/>
    <x:tableColumn id="6" name="Applicant / Entity"/>
    <x:tableColumn id="7" name="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SourceRegisterTable" displayName="SourceRegisterTable" ref="A5:H30" headerRowCount="1" totalsRowCount="0" totalsRowShown="0">
  <x:autoFilter ref="A5:H30"/>
  <x:tableColumns count="8">
    <x:tableColumn id="1" name="Source ID"/>
    <x:tableColumn id="2" name="Organisation"/>
    <x:tableColumn id="3" name="Source Title"/>
    <x:tableColumn id="4" name="Official URL"/>
    <x:tableColumn id="5" name="Source Type"/>
    <x:tableColumn id="6" name="Key Fact Used"/>
    <x:tableColumn id="7" name="Confidence"/>
    <x:tableColumn id="8" name="Verified 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StateExpansionTable" displayName="StateExpansionTable" ref="A5:D41" headerRowCount="1" totalsRowCount="0" totalsRowShown="0">
  <x:autoFilter ref="A5:D41"/>
  <x:tableColumns count="4">
    <x:tableColumn id="1" name="State / UT"/>
    <x:tableColumn id="2" name="Likely Official Entry Point"/>
    <x:tableColumn id="3" name="Research Status"/>
    <x:tableColumn id="4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5d772246c4347f5" /><Relationship Type="http://schemas.openxmlformats.org/officeDocument/2006/relationships/table" Target="/xl/tables/table1.xml" Id="R11e474cbb41b4096" /><Relationship Type="http://schemas.openxmlformats.org/officeDocument/2006/relationships/table" Target="/xl/tables/table2.xml" Id="R3b9a04c842ed45e1" /><Relationship Type="http://schemas.openxmlformats.org/officeDocument/2006/relationships/table" Target="/xl/tables/table3.xml" Id="R416a19c75193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bd02ad98a294d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ec56eadb0c046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29549b18399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8bc0a0fb33e4e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4150e483f9884b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6f7834e758746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Yojana Disha | SC/ST entrepreneur scheme library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Central / national Government of India catalogue prepared for SIH26092. Built for storage now and later integration into the structured matching engine.</x:v>
      </x:c>
      <x:c r="B2" s="8"/>
      <x:c r="C2" s="8"/>
      <x:c r="D2" s="8"/>
      <x:c r="E2" s="8"/>
      <x:c r="F2" s="8"/>
      <x:c r="G2" s="8"/>
      <x:c r="H2" s="8"/>
    </x:row>
    <x:row r="4">
      <x:c r="A4" s="11" t="str">
        <x:v>What is inside</x:v>
      </x:c>
      <x:c r="B4" s="11"/>
      <x:c r="C4" s="11"/>
      <x:c r="D4" s="11"/>
      <x:c r="E4" s="11"/>
      <x:c r="F4" s="11"/>
      <x:c r="G4" s="11"/>
      <x:c r="H4" s="11"/>
    </x:row>
    <x:row r="5">
      <x:c r="A5" s="17" t="str">
        <x:v>Sheet</x:v>
      </x:c>
      <x:c r="B5" s="17" t="str">
        <x:v>Use</x:v>
      </x:c>
    </x:row>
    <x:row r="6">
      <x:c r="A6" s="31" t="str">
        <x:v>Dashboard</x:v>
      </x:c>
      <x:c r="B6" s="32" t="str">
        <x:v>Counts, status, target-group mix and product-entry pathways.</x:v>
      </x:c>
    </x:row>
    <x:row r="7">
      <x:c r="A7" s="33" t="str">
        <x:v>Scheme Catalog</x:v>
      </x:c>
      <x:c r="B7" s="34" t="str">
        <x:v>36 central/national schemes, sub-components and complementary pathways.</x:v>
      </x:c>
    </x:row>
    <x:row r="8">
      <x:c r="A8" s="33" t="str">
        <x:v>Scheme Rules</x:v>
      </x:c>
      <x:c r="B8" s="34" t="str">
        <x:v>Rule-engine-ready hard, conditional, soft, verification and status rules.</x:v>
      </x:c>
    </x:row>
    <x:row r="9">
      <x:c r="A9" s="33" t="str">
        <x:v>Profile Fields</x:v>
      </x:c>
      <x:c r="B9" s="34" t="str">
        <x:v>Canonical user-profile fields to collect for future matching.</x:v>
      </x:c>
    </x:row>
    <x:row r="10">
      <x:c r="A10" s="33" t="str">
        <x:v>Document Checklist</x:v>
      </x:c>
      <x:c r="B10" s="34" t="str">
        <x:v>Per-scheme document prompts for a guided application journey.</x:v>
      </x:c>
    </x:row>
    <x:row r="11">
      <x:c r="A11" s="33" t="str">
        <x:v>Source Register</x:v>
      </x:c>
      <x:c r="B11" s="34" t="str">
        <x:v>Official source URLs, verification date and audit notes.</x:v>
      </x:c>
    </x:row>
    <x:row r="12">
      <x:c r="A12" s="35" t="str">
        <x:v>State Expansion</x:v>
      </x:c>
      <x:c r="B12" s="36" t="str">
        <x:v>Queue for state/UT schemes; state coverage is intentionally not claimed yet.</x:v>
      </x:c>
    </x:row>
    <x:row r="14">
      <x:c r="A14" s="11" t="str">
        <x:v>Scope and guardrails</x:v>
      </x:c>
      <x:c r="B14" s="11"/>
      <x:c r="C14" s="11"/>
      <x:c r="D14" s="11"/>
      <x:c r="E14" s="11"/>
      <x:c r="F14" s="11"/>
      <x:c r="G14" s="11"/>
      <x:c r="H14" s="11"/>
    </x:row>
    <x:row r="15">
      <x:c r="A15" s="31" t="str">
        <x:v>• Scope: central/national schemes and national implementation routes for SC/ST entrepreneurs, including direct finance, guarantees, procurement, training, cluster and value-chain programmes.</x:v>
      </x:c>
      <x:c r="B15" s="43"/>
      <x:c r="C15" s="43"/>
      <x:c r="D15" s="43"/>
      <x:c r="E15" s="43"/>
      <x:c r="F15" s="43"/>
      <x:c r="G15" s="43"/>
      <x:c r="H15" s="32"/>
    </x:row>
    <x:row r="16">
      <x:c r="A16" s="33" t="str">
        <x:v>• Complementary schemes are explicitly labelled; they are not SC/ST-exclusive but can be valuable matches when an SC/ST-targeted route does not fit.</x:v>
      </x:c>
      <x:c r="B16" s="44"/>
      <x:c r="C16" s="44"/>
      <x:c r="D16" s="44"/>
      <x:c r="E16" s="44"/>
      <x:c r="F16" s="44"/>
      <x:c r="G16" s="44"/>
      <x:c r="H16" s="34"/>
    </x:row>
    <x:row r="17">
      <x:c r="A17" s="33" t="str">
        <x:v>• Stand-Up India is preserved as SUPERSEDED. The proposed ₹2 crore first-time entrepreneur programme is preserved as ANNOUNCED_NOT_OPERATIONAL so stale data is not accidentally recommended.</x:v>
      </x:c>
      <x:c r="B17" s="44"/>
      <x:c r="C17" s="44"/>
      <x:c r="D17" s="44"/>
      <x:c r="E17" s="44"/>
      <x:c r="F17" s="44"/>
      <x:c r="G17" s="44"/>
      <x:c r="H17" s="34"/>
    </x:row>
    <x:row r="18">
      <x:c r="A18" s="35" t="str">
        <x:v>• Final eligibility, sanction, subsidy release and local availability are determined by the official implementing authority. Refresh URLs and source dates before production use.</x:v>
      </x:c>
      <x:c r="B18" s="45"/>
      <x:c r="C18" s="45"/>
      <x:c r="D18" s="45"/>
      <x:c r="E18" s="45"/>
      <x:c r="F18" s="45"/>
      <x:c r="G18" s="45"/>
      <x:c r="H18" s="36"/>
    </x:row>
    <x:row r="20">
      <x:c r="A20" s="10" t="str">
        <x:v>Legend</x:v>
      </x:c>
      <x:c r="B20" s="10"/>
      <x:c r="C20" s="10"/>
      <x:c r="D20" s="10"/>
      <x:c r="E20" s="10"/>
      <x:c r="F20" s="10"/>
      <x:c r="G20" s="10"/>
      <x:c r="H20" s="10"/>
    </x:row>
    <x:row r="21">
      <x:c r="A21" s="17" t="str">
        <x:v>Status / type</x:v>
      </x:c>
      <x:c r="B21" s="17" t="str">
        <x:v>Meaning</x:v>
      </x:c>
    </x:row>
    <x:row r="22">
      <x:c r="A22" s="31" t="str">
        <x:v>Active</x:v>
      </x:c>
      <x:c r="B22" s="32" t="str">
        <x:v>Currently listed or operating; still verify intake and local conditions.</x:v>
      </x:c>
    </x:row>
    <x:row r="23">
      <x:c r="A23" s="33" t="str">
        <x:v>Active component</x:v>
      </x:c>
      <x:c r="B23" s="34" t="str">
        <x:v>Part of an umbrella scheme; route through the correct component.</x:v>
      </x:c>
    </x:row>
    <x:row r="24">
      <x:c r="A24" s="35" t="str">
        <x:v>Superseded / Announced</x:v>
      </x:c>
      <x:c r="B24" s="36" t="str">
        <x:v>Not a current recommendation; retained for status control and future monitoring.</x:v>
      </x:c>
    </x:row>
    <x:row r="26">
      <x:c r="A26" s="48" t="str">
        <x:v>Last researched: 27-Aug-2026 | Project: SIH26092 — AI-Driven Scheme Matching for Marginalized Entrepreneurs</x:v>
      </x:c>
      <x:c r="B26" s="48"/>
      <x:c r="C26" s="48"/>
      <x:c r="D26" s="48"/>
      <x:c r="E26" s="48"/>
      <x:c r="F26" s="48"/>
      <x:c r="G26" s="48"/>
      <x:c r="H26" s="48"/>
    </x:row>
  </x:sheetData>
  <x:mergeCells>
    <x:mergeCell ref="A1:H1"/>
    <x:mergeCell ref="A2:H2"/>
    <x:mergeCell ref="A4:H4"/>
    <x:mergeCell ref="A14:H14"/>
    <x:mergeCell ref="A15:H15"/>
    <x:mergeCell ref="A16:H16"/>
    <x:mergeCell ref="A17:H17"/>
    <x:mergeCell ref="A18:H18"/>
    <x:mergeCell ref="A20:H20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8" hidden="0" customWidth="1"/>
    <x:col min="7" max="7" width="18" hidden="0" customWidth="1"/>
    <x:col min="8" max="8" width="28" hidden="0" customWidth="1"/>
    <x:col min="9" max="9" width="2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4" t="str">
        <x:v>Dashboard | SC/ST entrepreneur scheme library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8" t="str">
        <x:v>A compact overview for the team: what is current, what is targeted, and where the matching engine should send a user next.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1" t="str">
        <x:v>Central / national coverage snapshot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 ht="24" customHeight="1">
      <x:c r="A5" s="84" t="str">
        <x:v>Catalogued schemes</x:v>
      </x:c>
      <x:c r="B5" s="85"/>
      <x:c r="C5" s="85"/>
      <x:c r="D5" s="85" t="str">
        <x:v>Active / verify</x:v>
      </x:c>
      <x:c r="E5" s="85"/>
      <x:c r="F5" s="85"/>
      <x:c r="G5" s="85" t="str">
        <x:v>SC/ST-targeted</x:v>
      </x:c>
      <x:c r="H5" s="85"/>
      <x:c r="I5" s="85"/>
      <x:c r="J5" s="85" t="str">
        <x:v>Rule rows</x:v>
      </x:c>
      <x:c r="K5" s="85"/>
      <x:c r="L5" s="85" t="str">
        <x:v>Official sources</x:v>
      </x:c>
      <x:c r="M5" s="85"/>
      <x:c r="N5" s="86" t="str">
        <x:v>State/UT queue</x:v>
      </x:c>
    </x:row>
    <x:row r="6" ht="24" customHeight="1">
      <x:c r="A6" s="87" t="n">
        <x:f>COUNTA('Scheme Catalog'!$A$6:$A$41)</x:f>
        <x:v>36</x:v>
      </x:c>
      <x:c r="B6" s="78"/>
      <x:c r="C6" s="78"/>
      <x:c r="D6" s="78" t="n">
        <x:f>COUNTIF('Scheme Catalog'!$H$6:$H$41,"ACTIVE")+COUNTIF('Scheme Catalog'!$H$6:$H$41,"ACTIVE_COMPONENT")+COUNTIF('Scheme Catalog'!$H$6:$H$41,"ACTIVE_VERIFY")</x:f>
        <x:v>34</x:v>
      </x:c>
      <x:c r="E6" s="78"/>
      <x:c r="F6" s="78"/>
      <x:c r="G6" s="78" t="n">
        <x:f>COUNTIF('Scheme Catalog'!$E$6:$E$41,"SC and ST")+COUNTIF('Scheme Catalog'!$E$6:$E$41,"SC")+COUNTIF('Scheme Catalog'!$E$6:$E$41,"ST")</x:f>
        <x:v>21</x:v>
      </x:c>
      <x:c r="H6" s="78"/>
      <x:c r="I6" s="78"/>
      <x:c r="J6" s="78" t="n">
        <x:f>COUNTA('Scheme Rules'!$A$6:$A$66)</x:f>
        <x:v>61</x:v>
      </x:c>
      <x:c r="K6" s="78"/>
      <x:c r="L6" s="78" t="n">
        <x:f>COUNTA('Source Register'!$A$6:$A$30)</x:f>
        <x:v>25</x:v>
      </x:c>
      <x:c r="M6" s="78"/>
      <x:c r="N6" s="88" t="n">
        <x:f>COUNTA('State Expansion'!$A$6:$A$41)</x:f>
        <x:v>36</x:v>
      </x:c>
    </x:row>
    <x:row r="7" ht="24" customHeight="1">
      <x:c r="A7" s="89" t="str">
        <x:v>All rows in the central/national catalogue</x:v>
      </x:c>
      <x:c r="B7" s="90"/>
      <x:c r="C7" s="90"/>
      <x:c r="D7" s="90" t="str">
        <x:v>Current or current-looking rows</x:v>
      </x:c>
      <x:c r="E7" s="90"/>
      <x:c r="F7" s="90"/>
      <x:c r="G7" s="90" t="str">
        <x:v>Direct SC/ST focus</x:v>
      </x:c>
      <x:c r="H7" s="90"/>
      <x:c r="I7" s="90"/>
      <x:c r="J7" s="90" t="str">
        <x:v>Structured rules and status controls</x:v>
      </x:c>
      <x:c r="K7" s="90"/>
      <x:c r="L7" s="90" t="str">
        <x:v>Source register rows</x:v>
      </x:c>
      <x:c r="M7" s="90"/>
      <x:c r="N7" s="91" t="str">
        <x:v>Locations waiting for next pass</x:v>
      </x:c>
    </x:row>
    <x:row r="8" ht="8" customHeight="1"/>
    <x:row r="10">
      <x:c r="A10" s="10" t="str">
        <x:v>Best entry points by entrepreneur need</x:v>
      </x:c>
      <x:c r="B10" s="10"/>
      <x:c r="C10" s="10"/>
      <x:c r="D10" s="10"/>
      <x:c r="E10" s="10"/>
      <x:c r="F10" s="10"/>
      <x:c r="H10" s="10" t="str">
        <x:v>Status controls that protect the demo</x:v>
      </x:c>
      <x:c r="I10" s="10"/>
      <x:c r="J10" s="10"/>
      <x:c r="K10" s="10"/>
      <x:c r="L10" s="10"/>
      <x:c r="M10" s="10"/>
      <x:c r="N10" s="10"/>
    </x:row>
    <x:row r="11">
      <x:c r="A11" s="17" t="str">
        <x:v>Need</x:v>
      </x:c>
      <x:c r="B11" s="17" t="str">
        <x:v>Start with</x:v>
      </x:c>
      <x:c r="C11" s="17" t="str">
        <x:v>Why it matters</x:v>
      </x:c>
      <x:c r="D11" s="17" t="str">
        <x:v>Direct / indirect</x:v>
      </x:c>
      <x:c r="E11" s="17" t="str">
        <x:v>Engine note</x:v>
      </x:c>
      <x:c r="F11" s="17" t="str">
        <x:v>Status caution</x:v>
      </x:c>
      <x:c r="H11" s="17" t="str">
        <x:v>Control</x:v>
      </x:c>
      <x:c r="I11" s="17" t="str">
        <x:v>Why it matters</x:v>
      </x:c>
      <x:c r="J11" s="17" t="str">
        <x:v>Current treatment</x:v>
      </x:c>
      <x:c r="K11" s="17" t="str">
        <x:v>Do not do</x:v>
      </x:c>
      <x:c r="L11" s="17" t="str">
        <x:v>Next action</x:v>
      </x:c>
      <x:c r="M11" s="17" t="str">
        <x:v>Owner</x:v>
      </x:c>
      <x:c r="N11" s="17" t="str">
        <x:v>Priority</x:v>
      </x:c>
    </x:row>
    <x:row r="12" ht="58" customHeight="1">
      <x:c r="A12" s="67" t="str">
        <x:v>New micro-enterprise</x:v>
      </x:c>
      <x:c r="B12" s="59" t="str">
        <x:v>PMEGP</x:v>
      </x:c>
      <x:c r="C12" s="59" t="str">
        <x:v>High subsidy for SC/ST special category plus bank credit.</x:v>
      </x:c>
      <x:c r="D12" s="59" t="str">
        <x:v>Direct</x:v>
      </x:c>
      <x:c r="E12" s="59" t="str">
        <x:v>Use age, new-stage, capex and threshold rules.</x:v>
      </x:c>
      <x:c r="F12" s="68" t="str">
        <x:v>Negative list and bank appraisal apply.</x:v>
      </x:c>
      <x:c r="H12" s="67" t="str">
        <x:v>SUPI</x:v>
      </x:c>
      <x:c r="I12" s="59" t="str">
        <x:v>Historical scheme can appear in stale datasets.</x:v>
      </x:c>
      <x:c r="J12" s="59" t="str">
        <x:v>SUPERSEDED</x:v>
      </x:c>
      <x:c r="K12" s="59" t="str">
        <x:v>Do not recommend as apply-now.</x:v>
      </x:c>
      <x:c r="L12" s="59" t="str">
        <x:v>Monitor successor notification.</x:v>
      </x:c>
      <x:c r="M12" s="59" t="str">
        <x:v>Product</x:v>
      </x:c>
      <x:c r="N12" s="68" t="str">
        <x:v>P0</x:v>
      </x:c>
    </x:row>
    <x:row r="13" ht="58" customHeight="1">
      <x:c r="A13" s="69" t="str">
        <x:v>Equipment / technology</x:v>
      </x:c>
      <x:c r="B13" s="62" t="str">
        <x:v>SCLCSS</x:v>
      </x:c>
      <x:c r="C13" s="62" t="str">
        <x:v>25% subsidy on new plant/machinery through institutional credit.</x:v>
      </x:c>
      <x:c r="D13" s="62" t="str">
        <x:v>Direct</x:v>
      </x:c>
      <x:c r="E13" s="62" t="str">
        <x:v>Use SC/ST ownership, sector and capex rules.</x:v>
      </x:c>
      <x:c r="F13" s="70" t="str">
        <x:v>Current intake / PLI verification.</x:v>
      </x:c>
      <x:c r="H13" s="69" t="str">
        <x:v>First-timer ₹2cr</x:v>
      </x:c>
      <x:c r="I13" s="62" t="str">
        <x:v>Budget announcement may be mistaken for a live product.</x:v>
      </x:c>
      <x:c r="J13" s="62" t="str">
        <x:v>ANNOUNCED_NOT_OPERATIONAL</x:v>
      </x:c>
      <x:c r="K13" s="62" t="str">
        <x:v>Do not collect a false checklist.</x:v>
      </x:c>
      <x:c r="L13" s="62" t="str">
        <x:v>Refresh DFS status.</x:v>
      </x:c>
      <x:c r="M13" s="62" t="str">
        <x:v>Research</x:v>
      </x:c>
      <x:c r="N13" s="70" t="str">
        <x:v>P0</x:v>
      </x:c>
    </x:row>
    <x:row r="14" ht="58" customHeight="1">
      <x:c r="A14" s="69" t="str">
        <x:v>Small SC business loan</x:v>
      </x:c>
      <x:c r="B14" s="62" t="str">
        <x:v>NSFDC MFS / UNY</x:v>
      </x:c>
      <x:c r="C14" s="62" t="str">
        <x:v>SC-exclusive concessional products by project size.</x:v>
      </x:c>
      <x:c r="D14" s="62" t="str">
        <x:v>Direct</x:v>
      </x:c>
      <x:c r="E14" s="62" t="str">
        <x:v>Use income and project-cost bands.</x:v>
      </x:c>
      <x:c r="F14" s="70" t="str">
        <x:v>SCA/lender terms vary.</x:v>
      </x:c>
      <x:c r="H14" s="69" t="str">
        <x:v>PMFME</x:v>
      </x:c>
      <x:c r="I14" s="62" t="str">
        <x:v>Original five-year window has ended, portal remains live.</x:v>
      </x:c>
      <x:c r="J14" s="62" t="str">
        <x:v>ACTIVE_PORTAL_VERIFY</x:v>
      </x:c>
      <x:c r="K14" s="62" t="str">
        <x:v>Do not assume universal availability.</x:v>
      </x:c>
      <x:c r="L14" s="62" t="str">
        <x:v>Verify current intake/state.</x:v>
      </x:c>
      <x:c r="M14" s="62" t="str">
        <x:v>Research</x:v>
      </x:c>
      <x:c r="N14" s="70" t="str">
        <x:v>P1</x:v>
      </x:c>
    </x:row>
    <x:row r="15" ht="58" customHeight="1">
      <x:c r="A15" s="69" t="str">
        <x:v>Tribal enterprise</x:v>
      </x:c>
      <x:c r="B15" s="62" t="str">
        <x:v>NSTFDC Term Loan / VCF-ST</x:v>
      </x:c>
      <x:c r="C15" s="62" t="str">
        <x:v>ST-specific debt or startup/venture route.</x:v>
      </x:c>
      <x:c r="D15" s="62" t="str">
        <x:v>Direct</x:v>
      </x:c>
      <x:c r="E15" s="62" t="str">
        <x:v>Use ST, state/tribe and entity checks.</x:v>
      </x:c>
      <x:c r="F15" s="70" t="str">
        <x:v>Notified-tribe and channelising rules.</x:v>
      </x:c>
      <x:c r="H15" s="71" t="str">
        <x:v>Component schemes</x:v>
      </x:c>
      <x:c r="I15" s="65" t="str">
        <x:v>Different applicants follow different rule sets.</x:v>
      </x:c>
      <x:c r="J15" s="65" t="str">
        <x:v>Route by component first</x:v>
      </x:c>
      <x:c r="K15" s="65" t="str">
        <x:v>Do not use flat eligibility.</x:v>
      </x:c>
      <x:c r="L15" s="65" t="str">
        <x:v>Add component_id to matcher.</x:v>
      </x:c>
      <x:c r="M15" s="65" t="str">
        <x:v>Engineering</x:v>
      </x:c>
      <x:c r="N15" s="72" t="str">
        <x:v>P0</x:v>
      </x:c>
    </x:row>
    <x:row r="16" ht="54" customHeight="1">
      <x:c r="A16" s="71" t="str">
        <x:v>Government market access</x:v>
      </x:c>
      <x:c r="B16" s="65" t="str">
        <x:v>PPP-MSE + SPRS + NSSH</x:v>
      </x:c>
      <x:c r="C16" s="65" t="str">
        <x:v>SC/ST sub-target and procurement onboarding.</x:v>
      </x:c>
      <x:c r="D16" s="65" t="str">
        <x:v>Indirect / market</x:v>
      </x:c>
      <x:c r="E16" s="65" t="str">
        <x:v>Use MSE, ownership and tender checks.</x:v>
      </x:c>
      <x:c r="F16" s="72" t="str">
        <x:v>Not a cash grant.</x:v>
      </x:c>
    </x:row>
    <x:row r="19">
      <x:c r="A19" s="17" t="str">
        <x:v>Target Group</x:v>
      </x:c>
      <x:c r="B19" s="17" t="str">
        <x:v>Count</x:v>
      </x:c>
      <x:c r="C19" s="17" t="str">
        <x:v>Targeted / priority?</x:v>
      </x:c>
      <x:c r="D19" s="17" t="str">
        <x:v>Formula driver</x:v>
      </x:c>
      <x:c r="F19" s="17" t="str">
        <x:v>Lifecycle Status</x:v>
      </x:c>
      <x:c r="G19" s="17" t="str">
        <x:v>Count</x:v>
      </x:c>
      <x:c r="I19" s="17" t="str">
        <x:v>Scheme Type</x:v>
      </x:c>
      <x:c r="J19" s="17" t="str">
        <x:v>Count</x:v>
      </x:c>
      <x:c r="L19" s="17" t="str">
        <x:v>Status</x:v>
      </x:c>
      <x:c r="M19" s="17" t="str">
        <x:v>Count</x:v>
      </x:c>
      <x:c r="N19" s="17" t="str">
        <x:v>Notes</x:v>
      </x:c>
    </x:row>
    <x:row r="20">
      <x:c r="A20" s="67" t="str">
        <x:v>SC</x:v>
      </x:c>
      <x:c r="B20" s="132" t="n">
        <x:f>COUNTIF('Scheme Catalog'!$E$6:$E$41,"SC")</x:f>
        <x:v>10</x:v>
      </x:c>
      <x:c r="C20" s="59" t="str">
        <x:v>Yes</x:v>
      </x:c>
      <x:c r="D20" s="68" t="str">
        <x:v>Rows with Target Group = SC</x:v>
      </x:c>
      <x:c r="F20" s="67" t="str">
        <x:v>Active / verify</x:v>
      </x:c>
      <x:c r="G20" s="135" t="n">
        <x:f>COUNTIF('Scheme Catalog'!$H$6:$H$41,"ACTIVE")+COUNTIF('Scheme Catalog'!$H$6:$H$41,"ACTIVE_COMPONENT")+COUNTIF('Scheme Catalog'!$H$6:$H$41,"ACTIVE_VERIFY")</x:f>
        <x:v>34</x:v>
      </x:c>
      <x:c r="I20" s="67" t="str">
        <x:v>Direct individual</x:v>
      </x:c>
      <x:c r="J20" s="135" t="n">
        <x:f>COUNTIF('Scheme Catalog'!$G$6:$G$41,"Credit-linked capital subsidy")+COUNTIF('Scheme Catalog'!$G$6:$G$41,"Credit-linked margin-money subsidy")+COUNTIF('Scheme Catalog'!$G$6:$G$41,"Concessional term loan")+COUNTIF('Scheme Catalog'!$G$6:$G$41,"Micro-credit")+COUNTIF('Scheme Catalog'!$G$6:$G$41,"Micro-finance")+COUNTIF('Scheme Catalog'!$G$6:$G$41,"Concessional loan")+COUNTIF('Scheme Catalog'!$G$6:$G$41,"Short-term bridge loan")+COUNTIF('Scheme Catalog'!$G$6:$G$41,"Collateral-free credit")+COUNTIF('Scheme Catalog'!$G$6:$G$41,"Credit-linked subsidy / grant / formalisation")+COUNTIF('Scheme Catalog'!$G$6:$G$41,"Composite bank loan")+COUNTIF('Scheme Catalog'!$G$6:$G$41,"Announced term-loan scheme")</x:f>
        <x:v>14</x:v>
      </x:c>
      <x:c r="L20" s="123" t="str">
        <x:v>Active / verify</x:v>
      </x:c>
      <x:c r="M20" s="124" t="n">
        <x:f>G20</x:f>
        <x:v>34</x:v>
      </x:c>
      <x:c r="N20" s="125" t="str">
        <x:v>Current or verify</x:v>
      </x:c>
    </x:row>
    <x:row r="21">
      <x:c r="A21" s="69" t="str">
        <x:v>ST</x:v>
      </x:c>
      <x:c r="B21" s="133" t="n">
        <x:f>COUNTIF('Scheme Catalog'!$E$6:$E$41,"ST")</x:f>
        <x:v>5</x:v>
      </x:c>
      <x:c r="C21" s="62" t="str">
        <x:v>Yes</x:v>
      </x:c>
      <x:c r="D21" s="70" t="str">
        <x:v>Rows with Target Group = ST</x:v>
      </x:c>
      <x:c r="F21" s="69" t="str">
        <x:v>Active component</x:v>
      </x:c>
      <x:c r="G21" s="136" t="n">
        <x:f>COUNTIF('Scheme Catalog'!$H$6:$H$41,"ACTIVE_COMPONENT")</x:f>
        <x:v>3</x:v>
      </x:c>
      <x:c r="I21" s="69" t="str">
        <x:v>Credit-linked / guarantee</x:v>
      </x:c>
      <x:c r="J21" s="136" t="n">
        <x:f>COUNTIF('Scheme Catalog'!$G$6:$G$41,"Credit guarantee")</x:f>
        <x:v>2</x:v>
      </x:c>
      <x:c r="L21" s="126" t="str">
        <x:v>Active component</x:v>
      </x:c>
      <x:c r="M21" s="127" t="n">
        <x:f>G21</x:f>
        <x:v>3</x:v>
      </x:c>
      <x:c r="N21" s="128" t="str">
        <x:v>Umbrella component</x:v>
      </x:c>
    </x:row>
    <x:row r="22">
      <x:c r="A22" s="69" t="str">
        <x:v>SC and ST</x:v>
      </x:c>
      <x:c r="B22" s="133" t="n">
        <x:f>COUNTIF('Scheme Catalog'!$E$6:$E$41,"SC and ST")</x:f>
        <x:v>6</x:v>
      </x:c>
      <x:c r="C22" s="62" t="str">
        <x:v>Yes</x:v>
      </x:c>
      <x:c r="D22" s="70" t="str">
        <x:v>Rows with Target Group = SC and ST</x:v>
      </x:c>
      <x:c r="F22" s="69" t="str">
        <x:v>Superseded</x:v>
      </x:c>
      <x:c r="G22" s="136" t="n">
        <x:f>COUNTIF('Scheme Catalog'!$H$6:$H$41,"SUPERSEDED")</x:f>
        <x:v>1</x:v>
      </x:c>
      <x:c r="I22" s="69" t="str">
        <x:v>Training / handholding</x:v>
      </x:c>
      <x:c r="J22" s="136" t="n">
        <x:f>COUNTIF('Scheme Catalog'!$G$6:$G$41,"Umbrella / handholding")+COUNTIF('Scheme Catalog'!$G$6:$G$41,"Training / handholding")+COUNTIF('Scheme Catalog'!$G$6:$G$41,"Training / entrepreneurship development")</x:f>
        <x:v>3</x:v>
      </x:c>
      <x:c r="L22" s="126" t="str">
        <x:v>Superseded</x:v>
      </x:c>
      <x:c r="M22" s="127" t="n">
        <x:f>G22</x:f>
        <x:v>1</x:v>
      </x:c>
      <x:c r="N22" s="128" t="str">
        <x:v>Historical only</x:v>
      </x:c>
    </x:row>
    <x:row r="23">
      <x:c r="A23" s="69" t="str">
        <x:v>SC/ST priority within general scheme</x:v>
      </x:c>
      <x:c r="B23" s="133" t="n">
        <x:f>COUNTIF('Scheme Catalog'!$E$6:$E$41,"SC/ST special coverage within MSE scheme")+COUNTIF('Scheme Catalog'!$E$6:$E$41,"SC/ST not exclusive; inclusive institutional credit")+COUNTIF('Scheme Catalog'!$E$6:$E$41,"SC/ST not exclusive; group and micro-food focus")+COUNTIF('Scheme Catalog'!$E$6:$E$41,"SC/ST not exclusive; traditional artisans")+COUNTIF('Scheme Catalog'!$E$6:$E$41,"SC/ST artisans can benefit within clusters")+COUNTIF('Scheme Catalog'!$E$6:$E$41,"SC/ST eligible within rural SHG ecosystem")+COUNTIF('Scheme Catalog'!$E$6:$E$41,"SC/ST eligible within urban-poor target group")</x:f>
        <x:v>7</x:v>
      </x:c>
      <x:c r="C23" s="62" t="str">
        <x:v>Priority</x:v>
      </x:c>
      <x:c r="D23" s="70" t="str">
        <x:v>Rows with target text containing SC/ST</x:v>
      </x:c>
      <x:c r="F23" s="71" t="str">
        <x:v>Announced / not operational</x:v>
      </x:c>
      <x:c r="G23" s="137" t="n">
        <x:f>COUNTIF('Scheme Catalog'!$H$6:$H$41,"ANNOUNCED_NOT_OPERATIONAL")</x:f>
        <x:v>1</x:v>
      </x:c>
      <x:c r="I23" s="69" t="str">
        <x:v>Market / procurement</x:v>
      </x:c>
      <x:c r="J23" s="136" t="n">
        <x:f>COUNTIF('Scheme Catalog'!$G$6:$G$41,"Market access / reimbursement")+COUNTIF('Scheme Catalog'!$G$6:$G$41,"Reimbursement / competitiveness support")+COUNTIF('Scheme Catalog'!$G$6:$G$41,"Market access / policy")+COUNTIF('Scheme Catalog'!$G$6:$G$41,"Registration / procurement access")</x:f>
        <x:v>4</x:v>
      </x:c>
      <x:c r="L23" s="129" t="str">
        <x:v>Announced</x:v>
      </x:c>
      <x:c r="M23" s="130" t="n">
        <x:f>G23</x:f>
        <x:v>1</x:v>
      </x:c>
      <x:c r="N23" s="131" t="str">
        <x:v>Watchlist only</x:v>
      </x:c>
    </x:row>
    <x:row r="24">
      <x:c r="A24" s="71" t="str">
        <x:v>Complementary / general</x:v>
      </x:c>
      <x:c r="B24" s="134" t="n">
        <x:f>COUNTIF('Scheme Catalog'!$A$6:$A$41,"SCST-26")+COUNTIF('Scheme Catalog'!$A$6:$A$41,"SCST-27")+COUNTIF('Scheme Catalog'!$A$6:$A$41,"SCST-28")+COUNTIF('Scheme Catalog'!$A$6:$A$41,"SCST-29")+COUNTIF('Scheme Catalog'!$A$6:$A$41,"SCST-30")+COUNTIF('Scheme Catalog'!$A$6:$A$41,"SCST-31")+COUNTIF('Scheme Catalog'!$A$6:$A$41,"SCST-32")+COUNTIF('Scheme Catalog'!$A$6:$A$41,"SCST-33")+COUNTIF('Scheme Catalog'!$A$6:$A$41,"SCST-34")</x:f>
        <x:v>9</x:v>
      </x:c>
      <x:c r="C24" s="65" t="str">
        <x:v>No</x:v>
      </x:c>
      <x:c r="D24" s="72" t="str">
        <x:v>General schemes with SC/ST relevance</x:v>
      </x:c>
      <x:c r="I24" s="69" t="str">
        <x:v>Cluster / value-chain</x:v>
      </x:c>
      <x:c r="J24" s="136" t="n">
        <x:f>COUNTIF('Scheme Catalog'!$G$6:$G$41,"Cluster / handholding / value-chain")+COUNTIF('Scheme Catalog'!$G$6:$G$41,"Cluster / value-chain / market support")+COUNTIF('Scheme Catalog'!$G$6:$G$41,"Cluster grant / common facility")+COUNTIF('Scheme Catalog'!$G$6:$G$41,"Cluster grant / common facilities")</x:f>
        <x:v>3</x:v>
      </x:c>
    </x:row>
    <x:row r="25">
      <x:c r="I25" s="71" t="str">
        <x:v>Venture / incubation</x:v>
      </x:c>
      <x:c r="J25" s="137" t="n">
        <x:f>COUNTIF('Scheme Catalog'!$G$6:$G$41,"Venture capital / concessional finance")+COUNTIF('Scheme Catalog'!$G$6:$G$41,"Incubation / concessional finance")</x:f>
        <x:v>3</x:v>
      </x:c>
    </x:row>
    <x:row r="28" ht="36" customHeight="1">
      <x:c r="A28" s="119" t="str">
        <x:v>Important: matching signal ≠ approval. Use this library to shortlist, explain and route; always verify the official portal, lender, state agency or implementing authority before displaying a final recommendation.</x:v>
      </x:c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</x:row>
    <x:row r="29" ht="30" customHeight="1">
      <x:c r="A29" s="122" t="str">
        <x:v>Sources and last-verified dates are on the Source Register sheet. Use the Scheme Rules and Profile Fields sheets as the input contract for later matcher integration.</x:v>
      </x:c>
      <x:c r="B29" s="122"/>
      <x:c r="C29" s="122"/>
      <x:c r="D29" s="122"/>
      <x:c r="E29" s="122"/>
      <x:c r="F29" s="122"/>
      <x:c r="G29" s="122"/>
      <x:c r="H29" s="122"/>
      <x:c r="I29" s="122"/>
      <x:c r="J29" s="122"/>
      <x:c r="K29" s="122"/>
      <x:c r="L29" s="122"/>
      <x:c r="M29" s="122"/>
      <x:c r="N29" s="122"/>
    </x:row>
  </x:sheetData>
  <x:mergeCells>
    <x:mergeCell ref="A1:N1"/>
    <x:mergeCell ref="A2:N2"/>
    <x:mergeCell ref="A4:N4"/>
    <x:mergeCell ref="A5:C5"/>
    <x:mergeCell ref="A6:C6"/>
    <x:mergeCell ref="A7:C7"/>
    <x:mergeCell ref="D5:F5"/>
    <x:mergeCell ref="D6:F6"/>
    <x:mergeCell ref="D7:F7"/>
    <x:mergeCell ref="G5:I5"/>
    <x:mergeCell ref="G6:I6"/>
    <x:mergeCell ref="G7:I7"/>
    <x:mergeCell ref="J5:K5"/>
    <x:mergeCell ref="J6:K6"/>
    <x:mergeCell ref="J7:K7"/>
    <x:mergeCell ref="L5:M5"/>
    <x:mergeCell ref="L6:M6"/>
    <x:mergeCell ref="L7:M7"/>
    <x:mergeCell ref="A10:F10"/>
    <x:mergeCell ref="H10:N10"/>
    <x:mergeCell ref="A28:N28"/>
    <x:mergeCell ref="A29:N29"/>
  </x:mergeCells>
  <x:conditionalFormatting sqref="H12:N15">
    <x:cfRule type="containsText" dxfId="9" priority="1" operator="containsText" text="P0"/>
  </x:conditionalFormatting>
  <x:pageMargins left="0.7" right="0.7" top="0.75" bottom="0.75" header="0.3" footer="0.3"/>
  <x:drawing xmlns:r="http://schemas.openxmlformats.org/officeDocument/2006/relationships" r:id="R55d772246c4347f5"/>
  <x:tableParts count="3">
    <x:tablePart xmlns:r="http://schemas.openxmlformats.org/officeDocument/2006/relationships" r:id="R11e474cbb41b4096"/>
    <x:tablePart xmlns:r="http://schemas.openxmlformats.org/officeDocument/2006/relationships" r:id="R3b9a04c842ed45e1"/>
    <x:tablePart xmlns:r="http://schemas.openxmlformats.org/officeDocument/2006/relationships" r:id="R416a19c75193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4" hidden="0" customWidth="1"/>
    <x:col min="5" max="5" width="22" hidden="0" customWidth="1"/>
    <x:col min="6" max="6" width="30" hidden="0" customWidth="1"/>
    <x:col min="7" max="7" width="24" hidden="0" customWidth="1"/>
    <x:col min="8" max="8" width="28" hidden="0" customWidth="1"/>
    <x:col min="9" max="9" width="24" hidden="0" customWidth="1"/>
    <x:col min="10" max="10" width="48" hidden="0" customWidth="1"/>
    <x:col min="11" max="11" width="58" hidden="0" customWidth="1"/>
    <x:col min="12" max="12" width="34" hidden="0" customWidth="1"/>
    <x:col min="13" max="13" width="48" hidden="0" customWidth="1"/>
    <x:col min="14" max="14" width="52" hidden="0" customWidth="1"/>
    <x:col min="15" max="15" width="38" hidden="0" customWidth="1"/>
    <x:col min="16" max="16" width="38" hidden="0" customWidth="1"/>
    <x:col min="17" max="17" width="40" hidden="0" customWidth="1"/>
    <x:col min="18" max="18" width="44" hidden="0" customWidth="1"/>
    <x:col min="19" max="19" width="20" hidden="0" customWidth="1"/>
    <x:col min="20" max="20" width="32" hidden="0" customWidth="1"/>
    <x:col min="21" max="21" width="34" hidden="0" customWidth="1"/>
    <x:col min="22" max="22" width="14" hidden="0" customWidth="1"/>
  </x:cols>
  <x:sheetData>
    <x:row r="1" ht="34" customHeight="1">
      <x:c r="A1" s="4" t="str">
        <x:v>Scheme Catalog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0" customHeight="1">
      <x:c r="A2" s="8" t="str">
        <x:v>Filter by SC/ST focus, scheme type, lifecycle status, pathway or business need. URLs are stored as plain text for later ingestion.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5">
      <x:c r="A5" s="17" t="str">
        <x:v>Scheme ID</x:v>
      </x:c>
      <x:c r="B5" s="17" t="str">
        <x:v>Scheme / Component</x:v>
      </x:c>
      <x:c r="C5" s="17" t="str">
        <x:v>Short Name</x:v>
      </x:c>
      <x:c r="D5" s="17" t="str">
        <x:v>Nodal Ministry / Implementer</x:v>
      </x:c>
      <x:c r="E5" s="17" t="str">
        <x:v>Target Group</x:v>
      </x:c>
      <x:c r="F5" s="17" t="str">
        <x:v>Audience / Entity</x:v>
      </x:c>
      <x:c r="G5" s="17" t="str">
        <x:v>Scheme Type</x:v>
      </x:c>
      <x:c r="H5" s="17" t="str">
        <x:v>Lifecycle Status</x:v>
      </x:c>
      <x:c r="I5" s="17" t="str">
        <x:v>Application Signal</x:v>
      </x:c>
      <x:c r="J5" s="17" t="str">
        <x:v>Purpose / Use Case</x:v>
      </x:c>
      <x:c r="K5" s="17" t="str">
        <x:v>Benefit Summary</x:v>
      </x:c>
      <x:c r="L5" s="17" t="str">
        <x:v>Quantitative Cap / Rate</x:v>
      </x:c>
      <x:c r="M5" s="17" t="str">
        <x:v>Key Hard Signals</x:v>
      </x:c>
      <x:c r="N5" s="17" t="str">
        <x:v>Conditional / Verification Signals</x:v>
      </x:c>
      <x:c r="O5" s="17" t="str">
        <x:v>Typical Documents</x:v>
      </x:c>
      <x:c r="P5" s="17" t="str">
        <x:v>How to Apply / Route</x:v>
      </x:c>
      <x:c r="Q5" s="17" t="str">
        <x:v>Official Portal URL</x:v>
      </x:c>
      <x:c r="R5" s="17" t="str">
        <x:v>Guidance / Evidence URL</x:v>
      </x:c>
      <x:c r="S5" s="17" t="str">
        <x:v>Source Class</x:v>
      </x:c>
      <x:c r="T5" s="17" t="str">
        <x:v>Engine Classification</x:v>
      </x:c>
      <x:c r="U5" s="17" t="str">
        <x:v>Project Relevance</x:v>
      </x:c>
      <x:c r="V5" s="17" t="str">
        <x:v>Last Verified</x:v>
      </x:c>
    </x:row>
    <x:row r="6" ht="78" customHeight="1">
      <x:c r="A6" s="58" t="str">
        <x:v>SCST-01</x:v>
      </x:c>
      <x:c r="B6" s="59" t="str">
        <x:v>National SC-ST Hub</x:v>
      </x:c>
      <x:c r="C6" s="59" t="str">
        <x:v>NSSH</x:v>
      </x:c>
      <x:c r="D6" s="59" t="str">
        <x:v>Ministry of MSME / NSIC</x:v>
      </x:c>
      <x:c r="E6" s="59" t="str">
        <x:v>SC and ST</x:v>
      </x:c>
      <x:c r="F6" s="59" t="str">
        <x:v>Aspiring and existing SC/ST entrepreneurs; MSEs</x:v>
      </x:c>
      <x:c r="G6" s="59" t="str">
        <x:v>Umbrella / handholding</x:v>
      </x:c>
      <x:c r="H6" s="59" t="str">
        <x:v>ACTIVE</x:v>
      </x:c>
      <x:c r="I6" s="59" t="str">
        <x:v>Portal / NSSH offices</x:v>
      </x:c>
      <x:c r="J6" s="59" t="str">
        <x:v>Build capacity, improve competitiveness, create market and credit linkages, and help SC/ST MSEs participate in public procurement.</x:v>
      </x:c>
      <x:c r="K6" s="59" t="str">
        <x:v>Handholding; mentoring; training; vendor development; exhibitions; credit linkage; reimbursements; access to public procurement.</x:v>
      </x:c>
      <x:c r="L6" s="59" t="str">
        <x:v>No single cash ceiling; component-specific support.</x:v>
      </x:c>
      <x:c r="M6" s="59" t="str">
        <x:v>SC/ST entrepreneur or SC/ST-owned MSE; component-specific enterprise, Udyam and procurement conditions.</x:v>
      </x:c>
      <x:c r="N6" s="59" t="str">
        <x:v>Confirm the relevant component, ownership definition, Udyam status, local NSSH office and current intake.</x:v>
      </x:c>
      <x:c r="O6" s="59" t="str">
        <x:v>Caste certificate; Udyam registration; KYC; business profile; component-specific proofs.</x:v>
      </x:c>
      <x:c r="P6" s="59" t="str">
        <x:v>Apply / enquire through NSSH portal, NSSH office or NSIC / implementing agency.</x:v>
      </x:c>
      <x:c r="Q6" s="59" t="str">
        <x:v>https://scsthub.in/</x:v>
      </x:c>
      <x:c r="R6" s="59" t="str">
        <x:v>https://msme.gov.in/sites/default/files/Scheme-booklet-Eng.pdf</x:v>
      </x:c>
      <x:c r="S6" s="59" t="str">
        <x:v>Guideline / official portal</x:v>
      </x:c>
      <x:c r="T6" s="59" t="str">
        <x:v>Program-level; do not treat as one flat benefit.</x:v>
      </x:c>
      <x:c r="U6" s="59" t="str">
        <x:v>Must-have for SC/ST procurement and support journey</x:v>
      </x:c>
      <x:c r="V6" s="60" t="n">
        <x:v>46261</x:v>
      </x:c>
    </x:row>
    <x:row r="7" ht="78" customHeight="1">
      <x:c r="A7" s="61" t="str">
        <x:v>SCST-02</x:v>
      </x:c>
      <x:c r="B7" s="62" t="str">
        <x:v>Special Credit Linked Capital Subsidy Scheme</x:v>
      </x:c>
      <x:c r="C7" s="62" t="str">
        <x:v>SCLCSS</x:v>
      </x:c>
      <x:c r="D7" s="62" t="str">
        <x:v>Ministry of MSME</x:v>
      </x:c>
      <x:c r="E7" s="62" t="str">
        <x:v>SC and ST</x:v>
      </x:c>
      <x:c r="F7" s="62" t="str">
        <x:v>SC/ST-owned micro and small enterprises</x:v>
      </x:c>
      <x:c r="G7" s="62" t="str">
        <x:v>Credit-linked capital subsidy</x:v>
      </x:c>
      <x:c r="H7" s="62" t="str">
        <x:v>ACTIVE_VERIFY</x:v>
      </x:c>
      <x:c r="I7" s="62" t="str">
        <x:v>Prime Lending Institution / SCLCSS MIS</x:v>
      </x:c>
      <x:c r="J7" s="62" t="str">
        <x:v>Technology enablement and expansion through purchase of new plant, machinery or equipment using institutional term credit.</x:v>
      </x:c>
      <x:c r="K7" s="62" t="str">
        <x:v>25% subsidy on eligible institutional finance for plant and machinery/equipment, up to a subsidy cap of ₹25 lakh; finance base up to ₹1 crore.</x:v>
      </x:c>
      <x:c r="L7" s="62" t="str">
        <x:v>25% subsidy; subsidy cap ₹25 lakh; eligible institutional finance up to ₹1 crore.</x:v>
      </x:c>
      <x:c r="M7" s="62" t="str">
        <x:v>SC/ST-owned MSE; manufacturing or service sector; new eligible plant/machinery/equipment; term loan from eligible PLI.</x:v>
      </x:c>
      <x:c r="N7" s="62" t="str">
        <x:v>Ownership and SC/ST control definition; eligible NIC activity; new equipment; PLI and document checklist.</x:v>
      </x:c>
      <x:c r="O7" s="62" t="str">
        <x:v>SC/ST certificate; Udyam registration; DPR; equipment quotations; term-loan application/sanction; bank documents.</x:v>
      </x:c>
      <x:c r="P7" s="62" t="str">
        <x:v>Apply through the bank / PLI; bank or nodal agency uploads claim to SCLCSS portal.</x:v>
      </x:c>
      <x:c r="Q7" s="62" t="str">
        <x:v>https://sclcss.msme.gov.in/</x:v>
      </x:c>
      <x:c r="R7" s="62" t="str">
        <x:v>https://sclcss.msme.gov.in/Manual/Guidelines.pdf</x:v>
      </x:c>
      <x:c r="S7" s="62" t="str">
        <x:v>Guideline / official portal</x:v>
      </x:c>
      <x:c r="T7" s="62" t="str">
        <x:v>Directly modelable with capital-expenditure and category rules.</x:v>
      </x:c>
      <x:c r="U7" s="62" t="str">
        <x:v>Top match for technology upgrade or equipment purchase</x:v>
      </x:c>
      <x:c r="V7" s="63" t="n">
        <x:v>46261</x:v>
      </x:c>
    </x:row>
    <x:row r="8" ht="78" customHeight="1">
      <x:c r="A8" s="61" t="str">
        <x:v>SCST-03</x:v>
      </x:c>
      <x:c r="B8" s="62" t="str">
        <x:v>NSSH Special Marketing Assistance Scheme</x:v>
      </x:c>
      <x:c r="C8" s="62" t="str">
        <x:v>NSSH-SMAS</x:v>
      </x:c>
      <x:c r="D8" s="62" t="str">
        <x:v>Ministry of MSME / NSIC</x:v>
      </x:c>
      <x:c r="E8" s="62" t="str">
        <x:v>SC and ST</x:v>
      </x:c>
      <x:c r="F8" s="62" t="str">
        <x:v>SC/ST MSEs and aspiring entrepreneurs</x:v>
      </x:c>
      <x:c r="G8" s="62" t="str">
        <x:v>Market access / reimbursement</x:v>
      </x:c>
      <x:c r="H8" s="62" t="str">
        <x:v>ACTIVE_COMPONENT</x:v>
      </x:c>
      <x:c r="I8" s="62" t="str">
        <x:v>NSSH / NSIC / implementing partner</x:v>
      </x:c>
      <x:c r="J8" s="62" t="str">
        <x:v>Expand market access through exhibitions, vendor development programmes, buyer-seller meets and public procurement linkages.</x:v>
      </x:c>
      <x:c r="K8" s="62" t="str">
        <x:v>Marketing, exhibition and vendor development support; exact reimbursement or event rules vary by current component guidelines.</x:v>
      </x:c>
      <x:c r="L8" s="62" t="str">
        <x:v>Component-specific; amount and eligible expenses vary.</x:v>
      </x:c>
      <x:c r="M8" s="62" t="str">
        <x:v>SC/ST-owned MSE or eligible aspiring entrepreneur; activity/event and documentation conditions apply.</x:v>
      </x:c>
      <x:c r="N8" s="62" t="str">
        <x:v>Confirm event eligibility, reimbursement caps, registration, invoices and participation conditions.</x:v>
      </x:c>
      <x:c r="O8" s="62" t="str">
        <x:v>Udyam registration; SC/ST ownership proof; invoices; event registration; business profile.</x:v>
      </x:c>
      <x:c r="P8" s="62" t="str">
        <x:v>Through NSSH / NSIC announcements and participating events.</x:v>
      </x:c>
      <x:c r="Q8" s="62" t="str">
        <x:v>https://scsthub.in/</x:v>
      </x:c>
      <x:c r="R8" s="62" t="str">
        <x:v>https://www.msme.gov.in/sites/default/files/MSME-ANNUAL-REPORT-2024-25-ENGLISH.pdf</x:v>
      </x:c>
      <x:c r="S8" s="62" t="str">
        <x:v>Annual report / official portal</x:v>
      </x:c>
      <x:c r="T8" s="62" t="str">
        <x:v>Program-level; support is opportunity-based, not automatic.</x:v>
      </x:c>
      <x:c r="U8" s="62" t="str">
        <x:v>Useful for market-linkage recommendations</x:v>
      </x:c>
      <x:c r="V8" s="63" t="n">
        <x:v>46261</x:v>
      </x:c>
    </x:row>
    <x:row r="9" ht="78" customHeight="1">
      <x:c r="A9" s="61" t="str">
        <x:v>SCST-04</x:v>
      </x:c>
      <x:c r="B9" s="62" t="str">
        <x:v>NSSH Competitiveness Reimbursements</x:v>
      </x:c>
      <x:c r="C9" s="62" t="str">
        <x:v>NSSH-REIMBURSE</x:v>
      </x:c>
      <x:c r="D9" s="62" t="str">
        <x:v>Ministry of MSME / NSIC</x:v>
      </x:c>
      <x:c r="E9" s="62" t="str">
        <x:v>SC and ST</x:v>
      </x:c>
      <x:c r="F9" s="62" t="str">
        <x:v>SC/ST MSEs</x:v>
      </x:c>
      <x:c r="G9" s="62" t="str">
        <x:v>Reimbursement / competitiveness support</x:v>
      </x:c>
      <x:c r="H9" s="62" t="str">
        <x:v>ACTIVE_COMPONENT</x:v>
      </x:c>
      <x:c r="I9" s="62" t="str">
        <x:v>NSSH / NSIC</x:v>
      </x:c>
      <x:c r="J9" s="62" t="str">
        <x:v>Reduce entry costs for formalisation, testing, export readiness and public-procurement participation.</x:v>
      </x:c>
      <x:c r="K9" s="62" t="str">
        <x:v>Potential reimbursement of bank loan processing fee, performance bank guarantee charges, testing fees, export-promotion council membership, government e-commerce portal membership and NSIC SPRS registration fee.</x:v>
      </x:c>
      <x:c r="L9" s="62" t="str">
        <x:v>Component-specific reimbursements; no single universal ceiling in summary source.</x:v>
      </x:c>
      <x:c r="M9" s="62" t="str">
        <x:v>Eligible SC/ST MSE; expense and claim must fit the notified component rules.</x:v>
      </x:c>
      <x:c r="N9" s="62" t="str">
        <x:v>Confirm eligible expense, invoice date, claim timing, caps and portal process.</x:v>
      </x:c>
      <x:c r="O9" s="62" t="str">
        <x:v>Udyam; SC/ST certificate; invoices/receipts; bank or membership documents.</x:v>
      </x:c>
      <x:c r="P9" s="62" t="str">
        <x:v>Through NSSH / NSIC component process.</x:v>
      </x:c>
      <x:c r="Q9" s="62" t="str">
        <x:v>https://scsthub.in/</x:v>
      </x:c>
      <x:c r="R9" s="62" t="str">
        <x:v>https://www.msme.gov.in/sites/default/files/MSME-ANNUAL-REPORT-2024-25-ENGLISH.pdf</x:v>
      </x:c>
      <x:c r="S9" s="62" t="str">
        <x:v>Annual report / official portal</x:v>
      </x:c>
      <x:c r="T9" s="62" t="str">
        <x:v>Do not combine with SCLCSS; separate reimbursement pathway.</x:v>
      </x:c>
      <x:c r="U9" s="62" t="str">
        <x:v>Helps lower onboarding friction in product</x:v>
      </x:c>
      <x:c r="V9" s="63" t="n">
        <x:v>46261</x:v>
      </x:c>
    </x:row>
    <x:row r="10" ht="78" customHeight="1">
      <x:c r="A10" s="61" t="str">
        <x:v>SCST-05</x:v>
      </x:c>
      <x:c r="B10" s="62" t="str">
        <x:v>NSSH Capacity Building and Entrepreneurship Development</x:v>
      </x:c>
      <x:c r="C10" s="62" t="str">
        <x:v>NSSH-TRAINING</x:v>
      </x:c>
      <x:c r="D10" s="62" t="str">
        <x:v>Ministry of MSME / NSIC</x:v>
      </x:c>
      <x:c r="E10" s="62" t="str">
        <x:v>SC and ST</x:v>
      </x:c>
      <x:c r="F10" s="62" t="str">
        <x:v>Existing and prospective SC/ST entrepreneurs</x:v>
      </x:c>
      <x:c r="G10" s="62" t="str">
        <x:v>Training / handholding</x:v>
      </x:c>
      <x:c r="H10" s="62" t="str">
        <x:v>ACTIVE_COMPONENT</x:v>
      </x:c>
      <x:c r="I10" s="62" t="str">
        <x:v>NSSH offices / training institutions</x:v>
      </x:c>
      <x:c r="J10" s="62" t="str">
        <x:v>Build technical, managerial and tender-readiness capabilities for SC/ST entrepreneurs.</x:v>
      </x:c>
      <x:c r="K10" s="62" t="str">
        <x:v>Free or supported skill, entrepreneurship development, tender-readiness, mentoring and handholding activities; schedules vary.</x:v>
      </x:c>
      <x:c r="L10" s="62" t="str">
        <x:v>Training support; no single cash ceiling.</x:v>
      </x:c>
      <x:c r="M10" s="62" t="str">
        <x:v>SC/ST target group; course-specific selection and attendance requirements.</x:v>
      </x:c>
      <x:c r="N10" s="62" t="str">
        <x:v>Verify course, location, dates, seats and completion requirements.</x:v>
      </x:c>
      <x:c r="O10" s="62" t="str">
        <x:v>SC/ST certificate; KYC; education/experience details where course requires.</x:v>
      </x:c>
      <x:c r="P10" s="62" t="str">
        <x:v>Through NSSH offices, NSIC and notified training institutions.</x:v>
      </x:c>
      <x:c r="Q10" s="62" t="str">
        <x:v>https://scsthub.in/</x:v>
      </x:c>
      <x:c r="R10" s="62" t="str">
        <x:v>https://www.msme.gov.in/sites/default/files/MSME-ANNUAL-REPORT-2024-25-ENGLISH.pdf</x:v>
      </x:c>
      <x:c r="S10" s="62" t="str">
        <x:v>Annual report / official portal</x:v>
      </x:c>
      <x:c r="T10" s="62" t="str">
        <x:v>Training opportunity; not a loan or subsidy.</x:v>
      </x:c>
      <x:c r="U10" s="62" t="str">
        <x:v>Useful pre-application next step</x:v>
      </x:c>
      <x:c r="V10" s="63" t="n">
        <x:v>46261</x:v>
      </x:c>
    </x:row>
    <x:row r="11" ht="78" customHeight="1">
      <x:c r="A11" s="61" t="str">
        <x:v>SCST-06</x:v>
      </x:c>
      <x:c r="B11" s="62" t="str">
        <x:v>Public Procurement Policy for MSEs</x:v>
      </x:c>
      <x:c r="C11" s="62" t="str">
        <x:v>PPP-MSE</x:v>
      </x:c>
      <x:c r="D11" s="62" t="str">
        <x:v>Ministry of MSME</x:v>
      </x:c>
      <x:c r="E11" s="62" t="str">
        <x:v>SC and ST</x:v>
      </x:c>
      <x:c r="F11" s="62" t="str">
        <x:v>MSEs supplying Central Ministries, Departments and CPSEs</x:v>
      </x:c>
      <x:c r="G11" s="62" t="str">
        <x:v>Market access / policy</x:v>
      </x:c>
      <x:c r="H11" s="62" t="str">
        <x:v>ACTIVE</x:v>
      </x:c>
      <x:c r="I11" s="62" t="str">
        <x:v>Central procurement portals and buyer organisations</x:v>
      </x:c>
      <x:c r="J11" s="62" t="str">
        <x:v>Open a route into government markets through MSE procurement targets and SC/ST sub-target.</x:v>
      </x:c>
      <x:c r="K11" s="62" t="str">
        <x:v>Annual procurement target of 25% from MSEs, including a 4% sub-target from SC/ST-owned MSEs; tender sets free, EMD exemption and other MSE benefits subject to registration and tender rules.</x:v>
      </x:c>
      <x:c r="L11" s="62" t="str">
        <x:v>25% overall MSE target; 4% SC/ST-owned MSE sub-target.</x:v>
      </x:c>
      <x:c r="M11" s="62" t="str">
        <x:v>MSE status; SC/ST ownership definition; procurement/tender-specific compliance.</x:v>
      </x:c>
      <x:c r="N11" s="62" t="str">
        <x:v>Confirm tender, product/service eligibility, registration, technical qualification and buyer-specific conditions.</x:v>
      </x:c>
      <x:c r="O11" s="62" t="str">
        <x:v>Udyam; SC/ST ownership proof; product/service documents; NSIC SPRS or tender registration where applicable.</x:v>
      </x:c>
      <x:c r="P11" s="62" t="str">
        <x:v>Bid through the relevant Central Ministry / CPSE procurement route; use MSME portals.</x:v>
      </x:c>
      <x:c r="Q11" s="62" t="str">
        <x:v>https://www.msme.gov.in/public-procrument-policy</x:v>
      </x:c>
      <x:c r="R11" s="62" t="str">
        <x:v>https://my.msme.gov.in/MyMsme/Reg/PPP_Home.aspx</x:v>
      </x:c>
      <x:c r="S11" s="62" t="str">
        <x:v>Policy / official portal</x:v>
      </x:c>
      <x:c r="T11" s="62" t="str">
        <x:v>Market-access policy; not direct finance.</x:v>
      </x:c>
      <x:c r="U11" s="62" t="str">
        <x:v>High-value route after enterprise formalisation</x:v>
      </x:c>
      <x:c r="V11" s="63" t="n">
        <x:v>46261</x:v>
      </x:c>
    </x:row>
    <x:row r="12" ht="78" customHeight="1">
      <x:c r="A12" s="61" t="str">
        <x:v>SCST-07</x:v>
      </x:c>
      <x:c r="B12" s="62" t="str">
        <x:v>Single Point Registration Scheme</x:v>
      </x:c>
      <x:c r="C12" s="62" t="str">
        <x:v>NSIC-SPRS</x:v>
      </x:c>
      <x:c r="D12" s="62" t="str">
        <x:v>NSIC / Ministry of MSME</x:v>
      </x:c>
      <x:c r="E12" s="62" t="str">
        <x:v>SC and ST benefit within MSE procurement</x:v>
      </x:c>
      <x:c r="F12" s="62" t="str">
        <x:v>Micro and small enterprises</x:v>
      </x:c>
      <x:c r="G12" s="62" t="str">
        <x:v>Registration / procurement access</x:v>
      </x:c>
      <x:c r="H12" s="62" t="str">
        <x:v>ACTIVE_VERIFY</x:v>
      </x:c>
      <x:c r="I12" s="62" t="str">
        <x:v>NSIC SPRS / procurement</x:v>
      </x:c>
      <x:c r="J12" s="62" t="str">
        <x:v>Register eligible MSEs for participation in government purchases.</x:v>
      </x:c>
      <x:c r="K12" s="62" t="str">
        <x:v>Free tender sets, EMD exemption, L1+15% purchase preference mechanics and access to PPP-MSE benefits; NSSH can reimburse registration fee for eligible SC/ST enterprises where notified.</x:v>
      </x:c>
      <x:c r="L12" s="62" t="str">
        <x:v>No universal cash benefit; procurement benefits are rule-based.</x:v>
      </x:c>
      <x:c r="M12" s="62" t="str">
        <x:v>MSE that has commenced commercial production; registration, inspection and turnover/product conditions apply.</x:v>
      </x:c>
      <x:c r="N12" s="62" t="str">
        <x:v>Confirm commercial production, product/service scope, certificate validity and current NSIC process.</x:v>
      </x:c>
      <x:c r="O12" s="62" t="str">
        <x:v>Udyam / MSE registration; KYC; ownership proof; product/service and financial documents.</x:v>
      </x:c>
      <x:c r="P12" s="62" t="str">
        <x:v>Apply online or through NSIC zonal / branch office.</x:v>
      </x:c>
      <x:c r="Q12" s="62" t="str">
        <x:v>https://my.msme.gov.in/MyMsmeMob/MsmeScheme/Pages/1_2_3.html</x:v>
      </x:c>
      <x:c r="R12" s="62" t="str">
        <x:v>https://www.msme.gov.in/sites/default/files/MSME-ANNUAL-REPORT-2024-25-ENGLISH.pdf</x:v>
      </x:c>
      <x:c r="S12" s="62" t="str">
        <x:v>Official scheme page / annual report</x:v>
      </x:c>
      <x:c r="T12" s="62" t="str">
        <x:v>SC/ST is a priority benefit within a broader MSE registration.</x:v>
      </x:c>
      <x:c r="U12" s="62" t="str">
        <x:v>Procurement onboarding step</x:v>
      </x:c>
      <x:c r="V12" s="63" t="n">
        <x:v>46261</x:v>
      </x:c>
    </x:row>
    <x:row r="13" ht="78" customHeight="1">
      <x:c r="A13" s="61" t="str">
        <x:v>SCST-08</x:v>
      </x:c>
      <x:c r="B13" s="62" t="str">
        <x:v>Venture Capital Fund for Scheduled Castes</x:v>
      </x:c>
      <x:c r="C13" s="62" t="str">
        <x:v>VCF-SC</x:v>
      </x:c>
      <x:c r="D13" s="62" t="str">
        <x:v>Ministry of Social Justice and Empowerment / IFCI Venture</x:v>
      </x:c>
      <x:c r="E13" s="62" t="str">
        <x:v>SC</x:v>
      </x:c>
      <x:c r="F13" s="62" t="str">
        <x:v>SC entrepreneurs, growth-oriented companies and startups</x:v>
      </x:c>
      <x:c r="G13" s="62" t="str">
        <x:v>Venture capital / concessional finance</x:v>
      </x:c>
      <x:c r="H13" s="62" t="str">
        <x:v>ACTIVE_VERIFY</x:v>
      </x:c>
      <x:c r="I13" s="62" t="str">
        <x:v>IFCI Venture Capital Funds Ltd.</x:v>
      </x:c>
      <x:c r="J13" s="62" t="str">
        <x:v>Provide concessional finance to innovation- and growth-oriented SC enterprises and support asset-creating ventures.</x:v>
      </x:c>
      <x:c r="K13" s="62" t="str">
        <x:v>Concessional finance typically from ₹10 lakh to ₹15 crore; interest around 4% p.a. and concessional terms for eligible women and Divyang SC entrepreneurs per current government communication.</x:v>
      </x:c>
      <x:c r="L13" s="62" t="str">
        <x:v>₹10 lakh–₹15 crore; around 4% p.a.; term-specific conditions.</x:v>
      </x:c>
      <x:c r="M13" s="62" t="str">
        <x:v>SC promoter/entrepreneur; company or eligible entity; viable growth/innovation proposal; promoter contribution and due diligence.</x:v>
      </x:c>
      <x:c r="N13" s="62" t="str">
        <x:v>Investment committee appraisal, promoter ownership/control, project viability, securities and fund availability require verification.</x:v>
      </x:c>
      <x:c r="O13" s="62" t="str">
        <x:v>SC certificate; incorporation and ownership documents; pitch/DPR; financials; KYC; promoter contribution proof.</x:v>
      </x:c>
      <x:c r="P13" s="62" t="str">
        <x:v>Apply / engage through IFCI Venture / fund process.</x:v>
      </x:c>
      <x:c r="Q13" s="62" t="str">
        <x:v>https://www.ifciventure.com/venture-capital-fund-scheduled-castes-vcf-sc-and-venture-capital-fund-backward-classes-vcf-bc.aspx</x:v>
      </x:c>
      <x:c r="R13" s="62" t="str">
        <x:v>https://www.pib.gov.in/PressReleasePage.aspx?PRID=2209488&amp;lang=1&amp;reg=1</x:v>
      </x:c>
      <x:c r="S13" s="62" t="str">
        <x:v>Fund manager / PIB</x:v>
      </x:c>
      <x:c r="T13" s="62" t="str">
        <x:v>Investment product; not a grant and not suitable for every micro-enterprise.</x:v>
      </x:c>
      <x:c r="U13" s="62" t="str">
        <x:v>Startup / scale-up pathway</x:v>
      </x:c>
      <x:c r="V13" s="63" t="n">
        <x:v>46261</x:v>
      </x:c>
    </x:row>
    <x:row r="14" ht="78" customHeight="1">
      <x:c r="A14" s="61" t="str">
        <x:v>SCST-09</x:v>
      </x:c>
      <x:c r="B14" s="62" t="str">
        <x:v>Ambedkar Social Innovation and Incubation Mission</x:v>
      </x:c>
      <x:c r="C14" s="62" t="str">
        <x:v>ASIIM</x:v>
      </x:c>
      <x:c r="D14" s="62" t="str">
        <x:v>Ministry of Social Justice and Empowerment / IFCI Venture</x:v>
      </x:c>
      <x:c r="E14" s="62" t="str">
        <x:v>SC</x:v>
      </x:c>
      <x:c r="F14" s="62" t="str">
        <x:v>SC students, researchers and startup innovators</x:v>
      </x:c>
      <x:c r="G14" s="62" t="str">
        <x:v>Incubation / concessional finance</x:v>
      </x:c>
      <x:c r="H14" s="62" t="str">
        <x:v>ACTIVE_VERIFY</x:v>
      </x:c>
      <x:c r="I14" s="62" t="str">
        <x:v>IFCI Venture / incubation ecosystem</x:v>
      </x:c>
      <x:c r="J14" s="62" t="str">
        <x:v>Promote innovation among SC students and innovators through incubation and concessional finance.</x:v>
      </x:c>
      <x:c r="K14" s="62" t="str">
        <x:v>Concessional finance up to ₹30 lakh for eligible youth beneficiaries, with incubation / mentoring route and selection conditions.</x:v>
      </x:c>
      <x:c r="L14" s="62" t="str">
        <x:v>Up to ₹30 lakh; cohort and selection based.</x:v>
      </x:c>
      <x:c r="M14" s="62" t="str">
        <x:v>SC innovator or eligible student/researcher; innovation/startup through supported incubation ecosystem; due diligence.</x:v>
      </x:c>
      <x:c r="N14" s="62" t="str">
        <x:v>Confirm incubator route, innovation stage, promoter ownership, valuation and current call for applications.</x:v>
      </x:c>
      <x:c r="O14" s="62" t="str">
        <x:v>SC certificate; innovation/pitch deck; incubation or institute proof; KYC; business plan.</x:v>
      </x:c>
      <x:c r="P14" s="62" t="str">
        <x:v>Through IFCI Venture / participating incubators and notified calls.</x:v>
      </x:c>
      <x:c r="Q14" s="62" t="str">
        <x:v>https://www.ifciventure.com/venture-capital-fund-scheduled-castes-vcf-sc-and-venture-capital-fund-backward-classes-vcf-bc.aspx</x:v>
      </x:c>
      <x:c r="R14" s="62" t="str">
        <x:v>https://www.pib.gov.in/PressReleasePage.aspx?PRID=2209488&amp;lang=1&amp;reg=1</x:v>
      </x:c>
      <x:c r="S14" s="62" t="str">
        <x:v>Fund manager / PIB</x:v>
      </x:c>
      <x:c r="T14" s="62" t="str">
        <x:v>Treat as startup incubation pathway, not a universal SC loan.</x:v>
      </x:c>
      <x:c r="U14" s="62" t="str">
        <x:v>Best for tech / innovation profiles</x:v>
      </x:c>
      <x:c r="V14" s="63" t="n">
        <x:v>46261</x:v>
      </x:c>
    </x:row>
    <x:row r="15" ht="78" customHeight="1">
      <x:c r="A15" s="61" t="str">
        <x:v>SCST-10</x:v>
      </x:c>
      <x:c r="B15" s="62" t="str">
        <x:v>Credit Enhancement Guarantee Scheme for Scheduled Castes</x:v>
      </x:c>
      <x:c r="C15" s="62" t="str">
        <x:v>CEGSSC</x:v>
      </x:c>
      <x:c r="D15" s="62" t="str">
        <x:v>Ministry of Social Justice and Empowerment / IFCI</x:v>
      </x:c>
      <x:c r="E15" s="62" t="str">
        <x:v>SC</x:v>
      </x:c>
      <x:c r="F15" s="62" t="str">
        <x:v>SC-promoted enterprises and young/startup entrepreneurs</x:v>
      </x:c>
      <x:c r="G15" s="62" t="str">
        <x:v>Credit guarantee</x:v>
      </x:c>
      <x:c r="H15" s="62" t="str">
        <x:v>ACTIVE</x:v>
      </x:c>
      <x:c r="I15" s="62" t="str">
        <x:v>IFCI / member lending institutions</x:v>
      </x:c>
      <x:c r="J15" s="62" t="str">
        <x:v>Encourage banks and financial institutions to lend to SC entrepreneurs through credit-enhancement guarantees.</x:v>
      </x:c>
      <x:c r="K15" s="62" t="str">
        <x:v>Guarantee support for eligible collateral-free or third-party-guarantee-free credit facilities; historical guidelines describe facilities from ₹25 lakh and guarantee cover up to ₹5 crore.</x:v>
      </x:c>
      <x:c r="L15" s="62" t="str">
        <x:v>Historical guideline: credit facilities ₹25 lakh+; maximum guarantee cover up to ₹5 crore.</x:v>
      </x:c>
      <x:c r="M15" s="62" t="str">
        <x:v>SC promoter ownership/control; eligible company, partnership or sole proprietorship; lender and project conditions.</x:v>
      </x:c>
      <x:c r="N15" s="62" t="str">
        <x:v>Confirm current scheme operation, MLI onboarding, ownership threshold, guarantee fee and live application route.</x:v>
      </x:c>
      <x:c r="O15" s="62" t="str">
        <x:v>SC certificate; incorporation/partnership documents; project report; lender application; financials.</x:v>
      </x:c>
      <x:c r="P15" s="62" t="str">
        <x:v>Through IFCI / registered member lending institution; check live fund manager portal.</x:v>
      </x:c>
      <x:c r="Q15" s="62" t="str">
        <x:v>https://socialjustice.gov.in/schemes/32</x:v>
      </x:c>
      <x:c r="R15" s="62" t="str">
        <x:v>https://www.ifcicegssc.in/</x:v>
      </x:c>
      <x:c r="S15" s="62" t="str">
        <x:v>Department page / fund manager</x:v>
      </x:c>
      <x:c r="T15" s="62" t="str">
        <x:v>Availability and live parameters need manual verification.</x:v>
      </x:c>
      <x:c r="U15" s="62" t="str">
        <x:v>Large-ticket SC credit route</x:v>
      </x:c>
      <x:c r="V15" s="63" t="n">
        <x:v>46261</x:v>
      </x:c>
    </x:row>
    <x:row r="16" ht="78" customHeight="1">
      <x:c r="A16" s="61" t="str">
        <x:v>SCST-11</x:v>
      </x:c>
      <x:c r="B16" s="62" t="str">
        <x:v>NSFDC Term Loan Scheme</x:v>
      </x:c>
      <x:c r="C16" s="62" t="str">
        <x:v>NSFDC-TL</x:v>
      </x:c>
      <x:c r="D16" s="62" t="str">
        <x:v>National Scheduled Castes Finance &amp; Development Corporation</x:v>
      </x:c>
      <x:c r="E16" s="62" t="str">
        <x:v>SC</x:v>
      </x:c>
      <x:c r="F16" s="62" t="str">
        <x:v>SC individuals / eligible entities seeking income-generating activity</x:v>
      </x:c>
      <x:c r="G16" s="62" t="str">
        <x:v>Concessional term loan</x:v>
      </x:c>
      <x:c r="H16" s="62" t="str">
        <x:v>ACTIVE</x:v>
      </x:c>
      <x:c r="I16" s="62" t="str">
        <x:v>State Channelising Agencies / PM-SURAJ / other channelising agencies</x:v>
      </x:c>
      <x:c r="J16" s="62" t="str">
        <x:v>Finance larger viable income-generating projects for eligible SC beneficiaries.</x:v>
      </x:c>
      <x:c r="K16" s="62" t="str">
        <x:v>Projects above ₹1.40 lakh and up to ₹50 lakh; up to 90% of project cost; beneficiary rate around 8% p.a. for the primary term-loan band in current FAQ.</x:v>
      </x:c>
      <x:c r="L16" s="62" t="str">
        <x:v>Project cost up to ₹50 lakh; loan up to ₹45 lakh; up to 90%; rate around 8% p.a.; repayment up to 7 years.</x:v>
      </x:c>
      <x:c r="M16" s="62" t="str">
        <x:v>SC certificate; annual family income not exceeding ₹5 lakh for loans; viable project; SCA/CA and lender conditions.</x:v>
      </x:c>
      <x:c r="N16" s="62" t="str">
        <x:v>Confirm exact product, SCA, promoter contribution, activity, rate and repayment terms at application.</x:v>
      </x:c>
      <x:c r="O16" s="62" t="str">
        <x:v>SC certificate; income certificate; KYC; DPR; bank details; quotations.</x:v>
      </x:c>
      <x:c r="P16" s="62" t="str">
        <x:v>Apply through authorised State Channelising Agency / CA or PM-SURAJ.</x:v>
      </x:c>
      <x:c r="Q16" s="62" t="str">
        <x:v>https://nsfdc.nic.in/faqs</x:v>
      </x:c>
      <x:c r="R16" s="62" t="str">
        <x:v>https://socialjustice.gov.in/schemes/34</x:v>
      </x:c>
      <x:c r="S16" s="62" t="str">
        <x:v>Official FAQ / Department page</x:v>
      </x:c>
      <x:c r="T16" s="62" t="str">
        <x:v>Direct individual scheme; highly relevant for SC matching.</x:v>
      </x:c>
      <x:c r="U16" s="62" t="str">
        <x:v>Core SC finance pathway</x:v>
      </x:c>
      <x:c r="V16" s="63" t="n">
        <x:v>46261</x:v>
      </x:c>
    </x:row>
    <x:row r="17" ht="78" customHeight="1">
      <x:c r="A17" s="61" t="str">
        <x:v>SCST-12</x:v>
      </x:c>
      <x:c r="B17" s="62" t="str">
        <x:v>NSFDC Micro Finance Scheme</x:v>
      </x:c>
      <x:c r="C17" s="62" t="str">
        <x:v>NSFDC-MFS</x:v>
      </x:c>
      <x:c r="D17" s="62" t="str">
        <x:v>National Scheduled Castes Finance &amp; Development Corporation</x:v>
      </x:c>
      <x:c r="E17" s="62" t="str">
        <x:v>SC</x:v>
      </x:c>
      <x:c r="F17" s="62" t="str">
        <x:v>SC beneficiaries for small business activities</x:v>
      </x:c>
      <x:c r="G17" s="62" t="str">
        <x:v>Micro-credit</x:v>
      </x:c>
      <x:c r="H17" s="62" t="str">
        <x:v>ACTIVE_VERIFY</x:v>
      </x:c>
      <x:c r="I17" s="62" t="str">
        <x:v>State Channelising Agencies / channelising agencies</x:v>
      </x:c>
      <x:c r="J17" s="62" t="str">
        <x:v>Provide small-ticket micro-credit for self-employment and business activities.</x:v>
      </x:c>
      <x:c r="K17" s="62" t="str">
        <x:v>Units costing up to ₹1.40 lakh; maximum loan around ₹1.25 lakh; beneficiary rate around 6.5% p.a.; repayment within 3 years including moratorium per current FAQ.</x:v>
      </x:c>
      <x:c r="L17" s="62" t="str">
        <x:v>Project cost up to ₹1.40 lakh; loan up to ₹1.25 lakh; up to 90% of project cost.</x:v>
      </x:c>
      <x:c r="M17" s="62" t="str">
        <x:v>SC certificate; annual family income not exceeding ₹5 lakh for loans; viable small activity; SCA/CA conditions.</x:v>
      </x:c>
      <x:c r="N17" s="62" t="str">
        <x:v>Confirm current rate, contribution, channel, repeat-loan and activity conditions.</x:v>
      </x:c>
      <x:c r="O17" s="62" t="str">
        <x:v>SC certificate; income proof; KYC; simple business plan; bank details.</x:v>
      </x:c>
      <x:c r="P17" s="62" t="str">
        <x:v>Through authorised SCA / CA or PM-SURAJ route where available.</x:v>
      </x:c>
      <x:c r="Q17" s="62" t="str">
        <x:v>https://nsfdc.nic.in/faqs</x:v>
      </x:c>
      <x:c r="R17" s="62" t="str">
        <x:v>https://nsfdc.nic.in/</x:v>
      </x:c>
      <x:c r="S17" s="62" t="str">
        <x:v>Official FAQ / official portal</x:v>
      </x:c>
      <x:c r="T17" s="62" t="str">
        <x:v>Direct individual scheme; use for micro-projects.</x:v>
      </x:c>
      <x:c r="U17" s="62" t="str">
        <x:v>Micro-business entry point</x:v>
      </x:c>
      <x:c r="V17" s="63" t="n">
        <x:v>46261</x:v>
      </x:c>
    </x:row>
    <x:row r="18" ht="78" customHeight="1">
      <x:c r="A18" s="61" t="str">
        <x:v>SCST-13</x:v>
      </x:c>
      <x:c r="B18" s="62" t="str">
        <x:v>NSFDC Aajeevika Micro-Finance Yojana</x:v>
      </x:c>
      <x:c r="C18" s="62" t="str">
        <x:v>NSFDC-AMY</x:v>
      </x:c>
      <x:c r="D18" s="62" t="str">
        <x:v>National Scheduled Castes Finance &amp; Development Corporation</x:v>
      </x:c>
      <x:c r="E18" s="62" t="str">
        <x:v>SC</x:v>
      </x:c>
      <x:c r="F18" s="62" t="str">
        <x:v>SC beneficiaries through selected NBFC-MFIs</x:v>
      </x:c>
      <x:c r="G18" s="62" t="str">
        <x:v>Micro-finance</x:v>
      </x:c>
      <x:c r="H18" s="62" t="str">
        <x:v>ACTIVE_VERIFY</x:v>
      </x:c>
      <x:c r="I18" s="62" t="str">
        <x:v>Selected NBFC-MFIs</x:v>
      </x:c>
      <x:c r="J18" s="62" t="str">
        <x:v>Provide prompt and need-based micro-finance for small income-generating activities.</x:v>
      </x:c>
      <x:c r="K18" s="62" t="str">
        <x:v>Projects costing up to ₹1.40 lakh; maximum loan around ₹1.25 lakh; beneficiary rate around 15% p.a.; repayment within 3 years including moratorium per current FAQ.</x:v>
      </x:c>
      <x:c r="L18" s="62" t="str">
        <x:v>Project cost up to ₹1.40 lakh; loan up to ₹1.25 lakh.</x:v>
      </x:c>
      <x:c r="M18" s="62" t="str">
        <x:v>SC certificate; annual family income not exceeding ₹5 lakh for loans; selected NBFC-MFI and borrower conditions.</x:v>
      </x:c>
      <x:c r="N18" s="62" t="str">
        <x:v>Confirm selected NBFC-MFI, rate, documentation and local availability.</x:v>
      </x:c>
      <x:c r="O18" s="62" t="str">
        <x:v>SC certificate; income proof; KYC; business activity and bank details.</x:v>
      </x:c>
      <x:c r="P18" s="62" t="str">
        <x:v>Through selected NBFC-MFIs / authorised channel.</x:v>
      </x:c>
      <x:c r="Q18" s="62" t="str">
        <x:v>https://nsfdc.nic.in/faqs</x:v>
      </x:c>
      <x:c r="R18" s="62" t="str">
        <x:v>https://nsfdc.nic.in/</x:v>
      </x:c>
      <x:c r="S18" s="62" t="str">
        <x:v>Official FAQ / official portal</x:v>
      </x:c>
      <x:c r="T18" s="62" t="str">
        <x:v>Direct individual scheme; compare with NSFDC MFS by channel and rate.</x:v>
      </x:c>
      <x:c r="U18" s="62" t="str">
        <x:v>Alternative micro-finance route</x:v>
      </x:c>
      <x:c r="V18" s="63" t="n">
        <x:v>46261</x:v>
      </x:c>
    </x:row>
    <x:row r="19" ht="78" customHeight="1">
      <x:c r="A19" s="61" t="str">
        <x:v>SCST-14</x:v>
      </x:c>
      <x:c r="B19" s="62" t="str">
        <x:v>NSFDC Udyam Nidhi Yojana</x:v>
      </x:c>
      <x:c r="C19" s="62" t="str">
        <x:v>NSFDC-UNY</x:v>
      </x:c>
      <x:c r="D19" s="62" t="str">
        <x:v>National Scheduled Castes Finance &amp; Development Corporation</x:v>
      </x:c>
      <x:c r="E19" s="62" t="str">
        <x:v>SC</x:v>
      </x:c>
      <x:c r="F19" s="62" t="str">
        <x:v>SC beneficiaries for small/micro activities</x:v>
      </x:c>
      <x:c r="G19" s="62" t="str">
        <x:v>Concessional loan</x:v>
      </x:c>
      <x:c r="H19" s="62" t="str">
        <x:v>ACTIVE_VERIFY</x:v>
      </x:c>
      <x:c r="I19" s="62" t="str">
        <x:v>Cooperative societies, cooperative banks and SFBs</x:v>
      </x:c>
      <x:c r="J19" s="62" t="str">
        <x:v>Provide credit for small and micro income-generating activities.</x:v>
      </x:c>
      <x:c r="K19" s="62" t="str">
        <x:v>Projects up to ₹5 lakh; maximum loan around ₹4.50 lakh; current FAQ lists beneficiary rates around 13% through cooperative routes and 15% through SFBs, with repayment within 5 years.</x:v>
      </x:c>
      <x:c r="L19" s="62" t="str">
        <x:v>Project cost up to ₹5 lakh; loan up to ₹4.50 lakh.</x:v>
      </x:c>
      <x:c r="M19" s="62" t="str">
        <x:v>SC certificate; annual family income not exceeding ₹5 lakh for loans; viable activity; channelising-lender conditions.</x:v>
      </x:c>
      <x:c r="N19" s="62" t="str">
        <x:v>Confirm lender route, current rate, contribution, collateral and local product availability.</x:v>
      </x:c>
      <x:c r="O19" s="62" t="str">
        <x:v>SC certificate; income proof; KYC; DPR/business plan; bank details.</x:v>
      </x:c>
      <x:c r="P19" s="62" t="str">
        <x:v>Through eligible cooperative societies, cooperative banks or SFBs.</x:v>
      </x:c>
      <x:c r="Q19" s="62" t="str">
        <x:v>https://nsfdc.nic.in/faqs</x:v>
      </x:c>
      <x:c r="R19" s="62" t="str">
        <x:v>https://nsfdc.nic.in/</x:v>
      </x:c>
      <x:c r="S19" s="62" t="str">
        <x:v>Official FAQ / official portal</x:v>
      </x:c>
      <x:c r="T19" s="62" t="str">
        <x:v>Direct individual scheme; product terms vary by lender.</x:v>
      </x:c>
      <x:c r="U19" s="62" t="str">
        <x:v>Small equipment / working capital route</x:v>
      </x:c>
      <x:c r="V19" s="63" t="n">
        <x:v>46261</x:v>
      </x:c>
    </x:row>
    <x:row r="20" ht="78" customHeight="1">
      <x:c r="A20" s="61" t="str">
        <x:v>SCST-15</x:v>
      </x:c>
      <x:c r="B20" s="62" t="str">
        <x:v>NSFDC Skill Development and Entrepreneurship Support</x:v>
      </x:c>
      <x:c r="C20" s="62" t="str">
        <x:v>NSFDC-SKILL</x:v>
      </x:c>
      <x:c r="D20" s="62" t="str">
        <x:v>National Scheduled Castes Finance &amp; Development Corporation</x:v>
      </x:c>
      <x:c r="E20" s="62" t="str">
        <x:v>SC</x:v>
      </x:c>
      <x:c r="F20" s="62" t="str">
        <x:v>SC candidates / aspiring entrepreneurs</x:v>
      </x:c>
      <x:c r="G20" s="62" t="str">
        <x:v>Training / EDP</x:v>
      </x:c>
      <x:c r="H20" s="62" t="str">
        <x:v>ACTIVE_VERIFY</x:v>
      </x:c>
      <x:c r="I20" s="62" t="str">
        <x:v>NSFDC, training partners, PM-DAKSH</x:v>
      </x:c>
      <x:c r="J20" s="62" t="str">
        <x:v>Develop skills and entrepreneurship capabilities that lead to wage or self-employment.</x:v>
      </x:c>
      <x:c r="K20" s="62" t="str">
        <x:v>Free or supported skill and entrepreneurship development programmes; course content, stipend and eligibility vary by route.</x:v>
      </x:c>
      <x:c r="L20" s="62" t="str">
        <x:v>Training support; no single cash ceiling.</x:v>
      </x:c>
      <x:c r="M20" s="62" t="str">
        <x:v>SC candidates; age, course and document conditions; PM-DAKSH commonly 18–45 with no SC income ceiling.</x:v>
      </x:c>
      <x:c r="N20" s="62" t="str">
        <x:v>Confirm whether course is NSFDC-sponsored or PM-DAKSH, current batch and stipend rules.</x:v>
      </x:c>
      <x:c r="O20" s="62" t="str">
        <x:v>SC certificate; KYC; age proof; education / course prerequisites.</x:v>
      </x:c>
      <x:c r="P20" s="62" t="str">
        <x:v>Through NSFDC, PM-DAKSH portal or notified training partner.</x:v>
      </x:c>
      <x:c r="Q20" s="62" t="str">
        <x:v>https://nsfdc.nic.in/faqs</x:v>
      </x:c>
      <x:c r="R20" s="62" t="str">
        <x:v>https://socialjustice.gov.in/schemes/100</x:v>
      </x:c>
      <x:c r="S20" s="62" t="str">
        <x:v>Official FAQ / Department page</x:v>
      </x:c>
      <x:c r="T20" s="62" t="str">
        <x:v>Training is a pipeline enabler, not direct finance.</x:v>
      </x:c>
      <x:c r="U20" s="62" t="str">
        <x:v>Prepares users for later matches</x:v>
      </x:c>
      <x:c r="V20" s="63" t="n">
        <x:v>46261</x:v>
      </x:c>
    </x:row>
    <x:row r="21" ht="78" customHeight="1">
      <x:c r="A21" s="61" t="str">
        <x:v>SCST-16</x:v>
      </x:c>
      <x:c r="B21" s="62" t="str">
        <x:v>Scheme of Assistance to Scheduled Castes Development Corporations</x:v>
      </x:c>
      <x:c r="C21" s="62" t="str">
        <x:v>SCDC-ASSIST</x:v>
      </x:c>
      <x:c r="D21" s="62" t="str">
        <x:v>Department of Social Justice and Empowerment</x:v>
      </x:c>
      <x:c r="E21" s="62" t="str">
        <x:v>SC</x:v>
      </x:c>
      <x:c r="F21" s="62" t="str">
        <x:v>State-level SC Development Corporations and SC families via state projects</x:v>
      </x:c>
      <x:c r="G21" s="62" t="str">
        <x:v>State channel / margin money / subsidy</x:v>
      </x:c>
      <x:c r="H21" s="62" t="str">
        <x:v>ACTIVE</x:v>
      </x:c>
      <x:c r="I21" s="62" t="str">
        <x:v>State Scheduled Castes Development Corporations</x:v>
      </x:c>
      <x:c r="J21" s="62" t="str">
        <x:v>Support state corporations that identify SC families, sponsor credit and provide margin money, subsidy and programme convergence.</x:v>
      </x:c>
      <x:c r="K21" s="62" t="str">
        <x:v>State-level credit sponsorship, margin money at low interest, subsidy and linkages with poverty-alleviation programmes; exact benefit is state-specific.</x:v>
      </x:c>
      <x:c r="L21" s="62" t="str">
        <x:v>State and project-specific; no single national individual ceiling.</x:v>
      </x:c>
      <x:c r="M21" s="62" t="str">
        <x:v>SC family / state programme / poverty and local criteria; SCDC and lender rules.</x:v>
      </x:c>
      <x:c r="N21" s="62" t="str">
        <x:v>State-specific rules, ceilings, documents and availability must be verified.</x:v>
      </x:c>
      <x:c r="O21" s="62" t="str">
        <x:v>Caste/income/residence proof; project report; KYC; state scheme forms.</x:v>
      </x:c>
      <x:c r="P21" s="62" t="str">
        <x:v>Through the relevant State SC Development Corporation or district office.</x:v>
      </x:c>
      <x:c r="Q21" s="62" t="str">
        <x:v>https://socialjustice.gov.in/schemes/36</x:v>
      </x:c>
      <x:c r="R21" s="62" t="str">
        <x:v>https://nsfdc.nic.in/</x:v>
      </x:c>
      <x:c r="S21" s="62" t="str">
        <x:v>Department page / official portal</x:v>
      </x:c>
      <x:c r="T21" s="62" t="str">
        <x:v>Program-level; state rules are essential.</x:v>
      </x:c>
      <x:c r="U21" s="62" t="str">
        <x:v>Bridge to state scheme expansion</x:v>
      </x:c>
      <x:c r="V21" s="63" t="n">
        <x:v>46261</x:v>
      </x:c>
    </x:row>
    <x:row r="22" ht="78" customHeight="1">
      <x:c r="A22" s="61" t="str">
        <x:v>SCST-17</x:v>
      </x:c>
      <x:c r="B22" s="62" t="str">
        <x:v>PM-DAKSH Yojana</x:v>
      </x:c>
      <x:c r="C22" s="62" t="str">
        <x:v>PM-DAKSH</x:v>
      </x:c>
      <x:c r="D22" s="62" t="str">
        <x:v>Department of Social Justice and Empowerment</x:v>
      </x:c>
      <x:c r="E22" s="62" t="str">
        <x:v>SC and sanitation-worker groups; also OBC/EWS/DNT</x:v>
      </x:c>
      <x:c r="F22" s="62" t="str">
        <x:v>SC candidates aged 18–45 and other target groups</x:v>
      </x:c>
      <x:c r="G22" s="62" t="str">
        <x:v>Training / entrepreneurship development</x:v>
      </x:c>
      <x:c r="H22" s="62" t="str">
        <x:v>ACTIVE</x:v>
      </x:c>
      <x:c r="I22" s="62" t="str">
        <x:v>PM-DAKSH portal / empanelled training centres</x:v>
      </x:c>
      <x:c r="J22" s="62" t="str">
        <x:v>Provide high-quality skilling, reskilling and EDP support leading to self- or wage employment.</x:v>
      </x:c>
      <x:c r="K22" s="62" t="str">
        <x:v>Free training; SC candidates get ₹1,500/month stipend for non-residential training per official page; training cost borne as per common norms.</x:v>
      </x:c>
      <x:c r="L22" s="62" t="str">
        <x:v>Free training; SC stipend ₹1,500/month for non-residential training.</x:v>
      </x:c>
      <x:c r="M22" s="62" t="str">
        <x:v>SC candidate; age 18–45; caste certificate; course and attendance conditions.</x:v>
      </x:c>
      <x:c r="N22" s="62" t="str">
        <x:v>Confirm course, training centre, stipend mode, batch dates and any updated guideline.</x:v>
      </x:c>
      <x:c r="O22" s="62" t="str">
        <x:v>SC certificate; Aadhaar/KYC; age proof; education/course documents.</x:v>
      </x:c>
      <x:c r="P22" s="62" t="str">
        <x:v>Apply through PM-DAKSH portal or notified training centres.</x:v>
      </x:c>
      <x:c r="Q22" s="62" t="str">
        <x:v>https://socialjustice.gov.in/schemes/100</x:v>
      </x:c>
      <x:c r="R22" s="62" t="str">
        <x:v>https://pmdaksh.dosje.gov.in/</x:v>
      </x:c>
      <x:c r="S22" s="62" t="str">
        <x:v>Official scheme page / official portal</x:v>
      </x:c>
      <x:c r="T22" s="62" t="str">
        <x:v>Training opportunity; not a finance scheme.</x:v>
      </x:c>
      <x:c r="U22" s="62" t="str">
        <x:v>Strong recommendation before loan application</x:v>
      </x:c>
      <x:c r="V22" s="63" t="n">
        <x:v>46261</x:v>
      </x:c>
    </x:row>
    <x:row r="23" ht="78" customHeight="1">
      <x:c r="A23" s="61" t="str">
        <x:v>SCST-18</x:v>
      </x:c>
      <x:c r="B23" s="62" t="str">
        <x:v>Pradhan Mantri Anusuchit Jaati Abhyuday Yojana</x:v>
      </x:c>
      <x:c r="C23" s="62" t="str">
        <x:v>PM-AJAY</x:v>
      </x:c>
      <x:c r="D23" s="62" t="str">
        <x:v>Department of Social Justice and Empowerment</x:v>
      </x:c>
      <x:c r="E23" s="62" t="str">
        <x:v>SC</x:v>
      </x:c>
      <x:c r="F23" s="62" t="str">
        <x:v>SC families, communities, state/district projects</x:v>
      </x:c>
      <x:c r="G23" s="62" t="str">
        <x:v>Livelihood grant / skill / infrastructure</x:v>
      </x:c>
      <x:c r="H23" s="62" t="str">
        <x:v>ACTIVE</x:v>
      </x:c>
      <x:c r="I23" s="62" t="str">
        <x:v>State / district implementing agencies</x:v>
      </x:c>
      <x:c r="J23" s="62" t="str">
        <x:v>Reduce poverty through livelihood projects, skill development and critical infrastructure in SC-dominated villages.</x:v>
      </x:c>
      <x:c r="K23" s="62" t="str">
        <x:v>Comprehensive livelihood projects can include skill, infrastructure and financial assistance toward beneficiary loans for assets; the scheme does not allow standalone individual asset distribution.</x:v>
      </x:c>
      <x:c r="L23" s="62" t="str">
        <x:v>Current portal says asset-loan support up to ₹50,000 or 50% of asset cost, whichever is less, under comprehensive projects; state project-specific.</x:v>
      </x:c>
      <x:c r="M23" s="62" t="str">
        <x:v>SC persons/households under state/district project criteria; village and poverty criteria vary by component.</x:v>
      </x:c>
      <x:c r="N23" s="62" t="str">
        <x:v>Confirm state Annual Action Plan, project selection, local agency and whether individual asset is within a comprehensive project.</x:v>
      </x:c>
      <x:c r="O23" s="62" t="str">
        <x:v>Caste, income/BPL or local selection proof; project plan; KYC; state forms.</x:v>
      </x:c>
      <x:c r="P23" s="62" t="str">
        <x:v>Via State/District implementing agencies and PM-AJAY portal; not ordinary direct national loan application.</x:v>
      </x:c>
      <x:c r="Q23" s="62" t="str">
        <x:v>https://pmajay.dosje.gov.in/content/about-scheme</x:v>
      </x:c>
      <x:c r="R23" s="62" t="str">
        <x:v>https://pmajay.dosje.gov.in/content/income-generating-schemes</x:v>
      </x:c>
      <x:c r="S23" s="62" t="str">
        <x:v>Official portal / component page</x:v>
      </x:c>
      <x:c r="T23" s="62" t="str">
        <x:v>Indirect / project-level; must not be shown as guaranteed individual cash benefit.</x:v>
      </x:c>
      <x:c r="U23" s="62" t="str">
        <x:v>Community/project pathway</x:v>
      </x:c>
      <x:c r="V23" s="63" t="n">
        <x:v>46261</x:v>
      </x:c>
    </x:row>
    <x:row r="24" ht="78" customHeight="1">
      <x:c r="A24" s="61" t="str">
        <x:v>SCST-19</x:v>
      </x:c>
      <x:c r="B24" s="62" t="str">
        <x:v>National Action for Mechanised Sanitation Ecosystem</x:v>
      </x:c>
      <x:c r="C24" s="62" t="str">
        <x:v>NAMASTE</x:v>
      </x:c>
      <x:c r="D24" s="62" t="str">
        <x:v>Department of Social Justice and Empowerment + MoHUA</x:v>
      </x:c>
      <x:c r="E24" s="62" t="str">
        <x:v>Sanitation workers, SSWs, waste pickers and dependents; many beneficiaries are SC</x:v>
      </x:c>
      <x:c r="F24" s="62" t="str">
        <x:v>Individual sanitation workers and SHGs / groups</x:v>
      </x:c>
      <x:c r="G24" s="62" t="str">
        <x:v>Capital subsidy / safety / enterprise</x:v>
      </x:c>
      <x:c r="H24" s="62" t="str">
        <x:v>ACTIVE</x:v>
      </x:c>
      <x:c r="I24" s="62" t="str">
        <x:v>ULBs / NSKFDC / NAMASTE portal</x:v>
      </x:c>
      <x:c r="J24" s="62" t="str">
        <x:v>Formalise and rehabilitate sanitation workers through safety, training, mechanisation and entrepreneurship.</x:v>
      </x:c>
      <x:c r="K24" s="62" t="str">
        <x:v>Upfront capital subsidy for sanitation-related projects: 50% up to ₹5 lakh; ₹2.5 lakh + 25% of balance for ₹5–15 lakh; group projects up to ₹50 lakh with per-member and group caps per FAQ.</x:v>
      </x:c>
      <x:c r="L24" s="62" t="str">
        <x:v>Individual project up to ₹15 lakh; group project up to ₹50 lakh; individual subsidy max ₹3.75 lakh under group structure; exact guideline applies.</x:v>
      </x:c>
      <x:c r="M24" s="62" t="str">
        <x:v>Profiled/identified sanitation worker, SSW, waste picker or dependent; project and ULB/NSKFDC conditions.</x:v>
      </x:c>
      <x:c r="N24" s="62" t="str">
        <x:v>Confirm profiling, ULB coverage, project type, group formation and current subsidy formula.</x:v>
      </x:c>
      <x:c r="O24" s="62" t="str">
        <x:v>Worker/profile proof; KYC; project report; quotations; group/SHG documents where applicable.</x:v>
      </x:c>
      <x:c r="P24" s="62" t="str">
        <x:v>Through ULBs, NSKFDC / NAMASTE implementation route.</x:v>
      </x:c>
      <x:c r="Q24" s="62" t="str">
        <x:v>https://socialjustice.gov.in/schemes/37/archive</x:v>
      </x:c>
      <x:c r="R24" s="62" t="str">
        <x:v>https://bmsnamaste.dosje.gov.in/</x:v>
      </x:c>
      <x:c r="S24" s="62" t="str">
        <x:v>Official scheme page / portal</x:v>
      </x:c>
      <x:c r="T24" s="62" t="str">
        <x:v>Targeted livelihood pathway; not a general SC/ST entrepreneur scheme.</x:v>
      </x:c>
      <x:c r="U24" s="62" t="str">
        <x:v>Specialised sanitation-entrepreneur route</x:v>
      </x:c>
      <x:c r="V24" s="63" t="n">
        <x:v>46261</x:v>
      </x:c>
    </x:row>
    <x:row r="25" ht="78" customHeight="1">
      <x:c r="A25" s="61" t="str">
        <x:v>SCST-20</x:v>
      </x:c>
      <x:c r="B25" s="62" t="str">
        <x:v>NSTFDC Term Loan Scheme</x:v>
      </x:c>
      <x:c r="C25" s="62" t="str">
        <x:v>NSTFDC-TL</x:v>
      </x:c>
      <x:c r="D25" s="62" t="str">
        <x:v>National Scheduled Tribes Finance &amp; Development Corporation</x:v>
      </x:c>
      <x:c r="E25" s="62" t="str">
        <x:v>ST</x:v>
      </x:c>
      <x:c r="F25" s="62" t="str">
        <x:v>ST individuals and eligible entities</x:v>
      </x:c>
      <x:c r="G25" s="62" t="str">
        <x:v>Concessional term loan</x:v>
      </x:c>
      <x:c r="H25" s="62" t="str">
        <x:v>ACTIVE</x:v>
      </x:c>
      <x:c r="I25" s="62" t="str">
        <x:v>State Channelising Agencies / RRBs / partner banks</x:v>
      </x:c>
      <x:c r="J25" s="62" t="str">
        <x:v>Finance viable income-generating ventures in industrial, agricultural and service sectors for ST beneficiaries.</x:v>
      </x:c>
      <x:c r="K25" s="62" t="str">
        <x:v>Viable projects up to ₹50 lakh; NSTFDC term loan up to 90% of unit cost; beneficiary interest rates listed as 6%, 8% and 10% bands; repayment up to 5 years including moratorium.</x:v>
      </x:c>
      <x:c r="L25" s="62" t="str">
        <x:v>Unit cost up to ₹50 lakh; up to 90% of unit cost; 6–10% beneficiary rate bands.</x:v>
      </x:c>
      <x:c r="M25" s="62" t="str">
        <x:v>ST community; annual family income ceiling and residence/tribe notification rules; viable project; SCA/lender conditions.</x:v>
      </x:c>
      <x:c r="N25" s="62" t="str">
        <x:v>Confirm current income ceiling, notified tribe in state/UT, SCA, promoter contribution and lender terms.</x:v>
      </x:c>
      <x:c r="O25" s="62" t="str">
        <x:v>ST certificate; income proof; residence proof; DPR; KYC; quotations; bank details.</x:v>
      </x:c>
      <x:c r="P25" s="62" t="str">
        <x:v>Through authorised SCA, RRB or partner bank.</x:v>
      </x:c>
      <x:c r="Q25" s="62" t="str">
        <x:v>https://nstfdc.tribal.gov.in/</x:v>
      </x:c>
      <x:c r="R25" s="62" t="str">
        <x:v>https://nstfdc.tribal.gov.in/(S(k24fnvmki5kgvv0jxhzzeqaj))/frm_term_loan.aspx</x:v>
      </x:c>
      <x:c r="S25" s="62" t="str">
        <x:v>Official portal / scheme page</x:v>
      </x:c>
      <x:c r="T25" s="62" t="str">
        <x:v>Direct individual scheme; state/tribe verification is critical.</x:v>
      </x:c>
      <x:c r="U25" s="62" t="str">
        <x:v>Core ST finance pathway</x:v>
      </x:c>
      <x:c r="V25" s="63" t="n">
        <x:v>46261</x:v>
      </x:c>
    </x:row>
    <x:row r="26" ht="78" customHeight="1">
      <x:c r="A26" s="61" t="str">
        <x:v>SCST-21</x:v>
      </x:c>
      <x:c r="B26" s="62" t="str">
        <x:v>Adivasi Mahila Sashaktikaran Yojana</x:v>
      </x:c>
      <x:c r="C26" s="62" t="str">
        <x:v>NSTFDC-AMSY</x:v>
      </x:c>
      <x:c r="D26" s="62" t="str">
        <x:v>National Scheduled Tribes Finance &amp; Development Corporation</x:v>
      </x:c>
      <x:c r="E26" s="62" t="str">
        <x:v>ST women</x:v>
      </x:c>
      <x:c r="F26" s="62" t="str">
        <x:v>ST women entrepreneurs</x:v>
      </x:c>
      <x:c r="G26" s="62" t="str">
        <x:v>Concessional term loan</x:v>
      </x:c>
      <x:c r="H26" s="62" t="str">
        <x:v>ACTIVE_VERIFY</x:v>
      </x:c>
      <x:c r="I26" s="62" t="str">
        <x:v>State Channelising Agencies</x:v>
      </x:c>
      <x:c r="J26" s="62" t="str">
        <x:v>Provide highly concessional finance for economic development of ST women.</x:v>
      </x:c>
      <x:c r="K26" s="62" t="str">
        <x:v>Projects up to ₹2 lakh; up to 90% term loan; beneficiary rate 4% p.a. for loans up to ₹1 lakh in current official page; repayment up to 5 years.</x:v>
      </x:c>
      <x:c r="L26" s="62" t="str">
        <x:v>Unit cost up to ₹2 lakh; up to 90%; 4% p.a. for up to ₹1 lakh loan band.</x:v>
      </x:c>
      <x:c r="M26" s="62" t="str">
        <x:v>ST woman; annual family income ceiling and state/tribe residence rules; SCA conditions.</x:v>
      </x:c>
      <x:c r="N26" s="62" t="str">
        <x:v>Confirm current product band, income ceiling, promoter contribution and SCA availability.</x:v>
      </x:c>
      <x:c r="O26" s="62" t="str">
        <x:v>ST certificate; gender/identity proof; income proof; KYC; project plan; bank details.</x:v>
      </x:c>
      <x:c r="P26" s="62" t="str">
        <x:v>Through authorised SCA.</x:v>
      </x:c>
      <x:c r="Q26" s="62" t="str">
        <x:v>https://nstfdc.tribal.gov.in/(S(wdobvikapdpuryzvigs1rpn5))/PublicView_Hindi/frm_amsy.aspx</x:v>
      </x:c>
      <x:c r="R26" s="62" t="str">
        <x:v>https://nstfdc.tribal.gov.in/</x:v>
      </x:c>
      <x:c r="S26" s="62" t="str">
        <x:v>Official scheme page / official portal</x:v>
      </x:c>
      <x:c r="T26" s="62" t="str">
        <x:v>Direct individual scheme; current rate/product must be verified.</x:v>
      </x:c>
      <x:c r="U26" s="62" t="str">
        <x:v>Strong gender + ST match</x:v>
      </x:c>
      <x:c r="V26" s="63" t="n">
        <x:v>46261</x:v>
      </x:c>
    </x:row>
    <x:row r="27" ht="78" customHeight="1">
      <x:c r="A27" s="61" t="str">
        <x:v>SCST-22</x:v>
      </x:c>
      <x:c r="B27" s="62" t="str">
        <x:v>NSTFDC Micro Credit Scheme for Self Help Groups</x:v>
      </x:c>
      <x:c r="C27" s="62" t="str">
        <x:v>NSTFDC-MCS</x:v>
      </x:c>
      <x:c r="D27" s="62" t="str">
        <x:v>National Scheduled Tribes Finance &amp; Development Corporation</x:v>
      </x:c>
      <x:c r="E27" s="62" t="str">
        <x:v>ST</x:v>
      </x:c>
      <x:c r="F27" s="62" t="str">
        <x:v>ST-member SHGs</x:v>
      </x:c>
      <x:c r="G27" s="62" t="str">
        <x:v>Micro-credit</x:v>
      </x:c>
      <x:c r="H27" s="62" t="str">
        <x:v>ACTIVE_VERIFY</x:v>
      </x:c>
      <x:c r="I27" s="62" t="str">
        <x:v>State Channelising Agencies / partner banks</x:v>
      </x:c>
      <x:c r="J27" s="62" t="str">
        <x:v>Meet small loan requirements of ST members through eligible self-help groups.</x:v>
      </x:c>
      <x:c r="K27" s="62" t="str">
        <x:v>Up to ₹50,000 per member and ₹5 lakh per SHG; official page lists 3% SCA rate and 6% beneficiary rate; repayment up to 4 years at SCA level including moratorium.</x:v>
      </x:c>
      <x:c r="L27" s="62" t="str">
        <x:v>₹50,000 per member; ₹5 lakh per SHG.</x:v>
      </x:c>
      <x:c r="M27" s="62" t="str">
        <x:v>All members ST; existing profit-making SHG requirement under SCA route; state/tribe residence and income conditions.</x:v>
      </x:c>
      <x:c r="N27" s="62" t="str">
        <x:v>Confirm SHG age, profitability, member mix, repeat-loan and local SCA rules.</x:v>
      </x:c>
      <x:c r="O27" s="62" t="str">
        <x:v>ST certificates for members; SHG records; bank account; activity plan; income/residence proof.</x:v>
      </x:c>
      <x:c r="P27" s="62" t="str">
        <x:v>Through authorised SCA / partner bank.</x:v>
      </x:c>
      <x:c r="Q27" s="62" t="str">
        <x:v>https://nstfdc.tribal.gov.in/(S(xdrrv2dggok25j0gjxerotfo))/PublicView_Hindi/frm_mcs.aspx</x:v>
      </x:c>
      <x:c r="R27" s="62" t="str">
        <x:v>https://nstfdc.tribal.gov.in/</x:v>
      </x:c>
      <x:c r="S27" s="62" t="str">
        <x:v>Official scheme page / official portal</x:v>
      </x:c>
      <x:c r="T27" s="62" t="str">
        <x:v>Group pathway; do not treat as individual loan.</x:v>
      </x:c>
      <x:c r="U27" s="62" t="str">
        <x:v>ST collective enterprise route</x:v>
      </x:c>
      <x:c r="V27" s="63" t="n">
        <x:v>46261</x:v>
      </x:c>
    </x:row>
    <x:row r="28" ht="78" customHeight="1">
      <x:c r="A28" s="61" t="str">
        <x:v>SCST-23</x:v>
      </x:c>
      <x:c r="B28" s="62" t="str">
        <x:v>NSTFDC Bridge Loan</x:v>
      </x:c>
      <x:c r="C28" s="62" t="str">
        <x:v>NSTFDC-BRIDGE</x:v>
      </x:c>
      <x:c r="D28" s="62" t="str">
        <x:v>National Scheduled Tribes Finance &amp; Development Corporation</x:v>
      </x:c>
      <x:c r="E28" s="62" t="str">
        <x:v>ST</x:v>
      </x:c>
      <x:c r="F28" s="62" t="str">
        <x:v>ST entrepreneurs arranging permanent finance</x:v>
      </x:c>
      <x:c r="G28" s="62" t="str">
        <x:v>Short-term bridge loan</x:v>
      </x:c>
      <x:c r="H28" s="62" t="str">
        <x:v>ACTIVE_VERIFY</x:v>
      </x:c>
      <x:c r="I28" s="62" t="str">
        <x:v>NSTFDC / SCA / lender</x:v>
      </x:c>
      <x:c r="J28" s="62" t="str">
        <x:v>Bridge a short-term funding gap while the entrepreneur arranges permanent financing or subsidy.</x:v>
      </x:c>
      <x:c r="K28" s="62" t="str">
        <x:v>Income-generation schemes costing up to ₹25 lakh per unit; short-term loan up to one year at term-loan interest rate, with security/conditions as applicable.</x:v>
      </x:c>
      <x:c r="L28" s="62" t="str">
        <x:v>Unit cost up to ₹25 lakh; tenure up to 1 year.</x:v>
      </x:c>
      <x:c r="M28" s="62" t="str">
        <x:v>Eligible ST entrepreneur; credible permanent-finance/subsidy pathway; lender/SCA appraisal.</x:v>
      </x:c>
      <x:c r="N28" s="62" t="str">
        <x:v>Confirm collateral/security, lender sequencing, rate, repayment and availability before matching.</x:v>
      </x:c>
      <x:c r="O28" s="62" t="str">
        <x:v>ST certificate; bridge need evidence; permanent finance application; project report; KYC.</x:v>
      </x:c>
      <x:c r="P28" s="62" t="str">
        <x:v>Through NSTFDC/SCA route; manual verification required.</x:v>
      </x:c>
      <x:c r="Q28" s="62" t="str">
        <x:v>https://nstfdc.tribal.gov.in/(S(hlyifbi1ytbrmo53mxcku52t))/frm_bridge_loan.aspx</x:v>
      </x:c>
      <x:c r="R28" s="62" t="str">
        <x:v>https://nstfdc.tribal.gov.in/</x:v>
      </x:c>
      <x:c r="S28" s="62" t="str">
        <x:v>Official scheme page / official portal</x:v>
      </x:c>
      <x:c r="T28" s="62" t="str">
        <x:v>Specialised short-term product; do not rank above ordinary term loan without a financing gap.</x:v>
      </x:c>
      <x:c r="U28" s="62" t="str">
        <x:v>Financing-gap pathway</x:v>
      </x:c>
      <x:c r="V28" s="63" t="n">
        <x:v>46261</x:v>
      </x:c>
    </x:row>
    <x:row r="29" ht="78" customHeight="1">
      <x:c r="A29" s="61" t="str">
        <x:v>SCST-24</x:v>
      </x:c>
      <x:c r="B29" s="62" t="str">
        <x:v>Venture Capital Fund for Scheduled Tribes</x:v>
      </x:c>
      <x:c r="C29" s="62" t="str">
        <x:v>VCF-ST</x:v>
      </x:c>
      <x:c r="D29" s="62" t="str">
        <x:v>Ministry of Tribal Affairs / IFCI Venture</x:v>
      </x:c>
      <x:c r="E29" s="62" t="str">
        <x:v>ST</x:v>
      </x:c>
      <x:c r="F29" s="62" t="str">
        <x:v>ST entrepreneurs, startups and incubated ideas</x:v>
      </x:c>
      <x:c r="G29" s="62" t="str">
        <x:v>Venture capital / concessional finance</x:v>
      </x:c>
      <x:c r="H29" s="62" t="str">
        <x:v>ACTIVE_VERIFY</x:v>
      </x:c>
      <x:c r="I29" s="62" t="str">
        <x:v>IFCI Venture / VCF-ST</x:v>
      </x:c>
      <x:c r="J29" s="62" t="str">
        <x:v>Promote ST entrepreneurship, startups and innovative ideas through concessional finance, equity and/or credit support.</x:v>
      </x:c>
      <x:c r="K29" s="62" t="str">
        <x:v>Concessional finance at around 4% p.a. on official fund portal; initial corpus ₹50 crore; supports startups, incubators and technology/business ideas subject to fund rules.</x:v>
      </x:c>
      <x:c r="L29" s="62" t="str">
        <x:v>Around 4% p.a.; initial corpus ₹50 crore; project/investment-specific.</x:v>
      </x:c>
      <x:c r="M29" s="62" t="str">
        <x:v>ST-promoted company or startup; innovation/growth and asset creation; fund appraisal and promoter conditions.</x:v>
      </x:c>
      <x:c r="N29" s="62" t="str">
        <x:v>Confirm ownership, project stage, investment form, security, valuation, current call and fund availability.</x:v>
      </x:c>
      <x:c r="O29" s="62" t="str">
        <x:v>ST certificate; incorporation/ownership; pitch/DPR; financials; promoter contribution; KYC.</x:v>
      </x:c>
      <x:c r="P29" s="62" t="str">
        <x:v>Apply online or through IFCI Venture / VCF-ST process.</x:v>
      </x:c>
      <x:c r="Q29" s="62" t="str">
        <x:v>https://www.vcfst.in/</x:v>
      </x:c>
      <x:c r="R29" s="62" t="str">
        <x:v>https://tribal.nic.in/Livelihood.aspx</x:v>
      </x:c>
      <x:c r="S29" s="62" t="str">
        <x:v>Fund manager / Ministry page</x:v>
      </x:c>
      <x:c r="T29" s="62" t="str">
        <x:v>Investment product; not a universal micro-enterprise loan.</x:v>
      </x:c>
      <x:c r="U29" s="62" t="str">
        <x:v>ST startup / scale-up pathway</x:v>
      </x:c>
      <x:c r="V29" s="63" t="n">
        <x:v>46261</x:v>
      </x:c>
    </x:row>
    <x:row r="30" ht="78" customHeight="1">
      <x:c r="A30" s="61" t="str">
        <x:v>SCST-25</x:v>
      </x:c>
      <x:c r="B30" s="62" t="str">
        <x:v>Pradhan Mantri Janjatiya Vikas Mission / Van Dhan</x:v>
      </x:c>
      <x:c r="C30" s="62" t="str">
        <x:v>PMJVM-VD</x:v>
      </x:c>
      <x:c r="D30" s="62" t="str">
        <x:v>Ministry of Tribal Affairs / TRIFED</x:v>
      </x:c>
      <x:c r="E30" s="62" t="str">
        <x:v>ST</x:v>
      </x:c>
      <x:c r="F30" s="62" t="str">
        <x:v>Tribal SHGs, producer enterprises, MFP collectors and tribal entrepreneurs</x:v>
      </x:c>
      <x:c r="G30" s="62" t="str">
        <x:v>Cluster / value-chain / market support</x:v>
      </x:c>
      <x:c r="H30" s="62" t="str">
        <x:v>ACTIVE</x:v>
      </x:c>
      <x:c r="I30" s="62" t="str">
        <x:v>TRIFED / State implementing agencies / VDVKs</x:v>
      </x:c>
      <x:c r="J30" s="62" t="str">
        <x:v>Create tribal community-owned value chains, add value to minor forest produce and connect tribal producers to markets.</x:v>
      </x:c>
      <x:c r="K30" s="62" t="str">
        <x:v>Training in value addition and enterprise management; equipment, branding, marketing, logistics and buyer linkages; VDVKs can evolve into Van Dhan Producer Enterprises.</x:v>
      </x:c>
      <x:c r="L30" s="62" t="str">
        <x:v>Project / cluster-specific; no single individual cash ceiling.</x:v>
      </x:c>
      <x:c r="M30" s="62" t="str">
        <x:v>Tribal SHG / group / producer enterprise; approved VDVK/VDPE and state implementation conditions.</x:v>
      </x:c>
      <x:c r="N30" s="62" t="str">
        <x:v>Confirm local VDVK/VDPE, eligible MFP/product, state nodal agency, group structure and current project window.</x:v>
      </x:c>
      <x:c r="O30" s="62" t="str">
        <x:v>ST/group proof; SHG records; product/activity evidence; bank details; business plan.</x:v>
      </x:c>
      <x:c r="P30" s="62" t="str">
        <x:v>Through TRIFED, VDVK/VDPE, State Tribal Development agencies.</x:v>
      </x:c>
      <x:c r="Q30" s="62" t="str">
        <x:v>https://trifed.tribal.gov.in/index.php/en/pmvdy</x:v>
      </x:c>
      <x:c r="R30" s="62" t="str">
        <x:v>https://tribal.nic.in/Livelihood.aspx</x:v>
      </x:c>
      <x:c r="S30" s="62" t="str">
        <x:v>Official portal / Ministry page</x:v>
      </x:c>
      <x:c r="T30" s="62" t="str">
        <x:v>Indirect/group scheme; not a guaranteed individual loan.</x:v>
      </x:c>
      <x:c r="U30" s="62" t="str">
        <x:v>Tribal value-chain pathway</x:v>
      </x:c>
      <x:c r="V30" s="63" t="n">
        <x:v>46261</x:v>
      </x:c>
    </x:row>
    <x:row r="31" ht="78" customHeight="1">
      <x:c r="A31" s="61" t="str">
        <x:v>SCST-26</x:v>
      </x:c>
      <x:c r="B31" s="62" t="str">
        <x:v>Prime Minister's Employment Generation Programme</x:v>
      </x:c>
      <x:c r="C31" s="62" t="str">
        <x:v>PMEGP</x:v>
      </x:c>
      <x:c r="D31" s="62" t="str">
        <x:v>Ministry of MSME / KVIC</x:v>
      </x:c>
      <x:c r="E31" s="62" t="str">
        <x:v>SC and ST are special category</x:v>
      </x:c>
      <x:c r="F31" s="62" t="str">
        <x:v>Individuals, SHGs, societies, production cooperatives and trusts</x:v>
      </x:c>
      <x:c r="G31" s="62" t="str">
        <x:v>Credit-linked margin-money subsidy</x:v>
      </x:c>
      <x:c r="H31" s="62" t="str">
        <x:v>ACTIVE</x:v>
      </x:c>
      <x:c r="I31" s="62" t="str">
        <x:v>KVIC / KVIB / DIC / banks</x:v>
      </x:c>
      <x:c r="J31" s="62" t="str">
        <x:v>Support new viable micro-enterprises and employment generation in rural and urban areas.</x:v>
      </x:c>
      <x:c r="K31" s="62" t="str">
        <x:v>Project ceiling currently ₹50 lakh manufacturing and ₹20 lakh service/business/trading on live portal; SC/ST special category gets 25% urban and 35% rural margin-money subsidy with 5% own contribution.</x:v>
      </x:c>
      <x:c r="L31" s="62" t="str">
        <x:v>₹50 lakh manufacturing; ₹20 lakh service/business/trading; 25% urban / 35% rural subsidy for special category; 5% own contribution.</x:v>
      </x:c>
      <x:c r="M31" s="62" t="str">
        <x:v>Individual above 18; new project; eligible activity; capital expenditure; Class VIII above threshold; no prior subsidy for same unit.</x:v>
      </x:c>
      <x:c r="N31" s="62" t="str">
        <x:v>Negative list, project type, existing-unit route and current portal rules require verification.</x:v>
      </x:c>
      <x:c r="O31" s="62" t="str">
        <x:v>Aadhaar/KYC; DPR; quotations; bank details; education proof where triggered; caste certificate if claiming special category.</x:v>
      </x:c>
      <x:c r="P31" s="62" t="str">
        <x:v>Apply online on PMEGP portal; bank appraisal and KVIC/KVIB/DIC implementation.</x:v>
      </x:c>
      <x:c r="Q31" s="62" t="str">
        <x:v>https://pmegp.msme.gov.in/Home/Index</x:v>
      </x:c>
      <x:c r="R31" s="62" t="str">
        <x:v>https://www.msme.gov.in/sites/default/files/Revisedguidelines07.12.2023.pdf</x:v>
      </x:c>
      <x:c r="S31" s="62" t="str">
        <x:v>Official portal / guideline</x:v>
      </x:c>
      <x:c r="T31" s="62" t="str">
        <x:v>Complementary scheme with SC/ST preferential subsidy; not SC/ST-exclusive.</x:v>
      </x:c>
      <x:c r="U31" s="62" t="str">
        <x:v>High-volume new-enterprise route</x:v>
      </x:c>
      <x:c r="V31" s="63" t="n">
        <x:v>46261</x:v>
      </x:c>
    </x:row>
    <x:row r="32" ht="78" customHeight="1">
      <x:c r="A32" s="61" t="str">
        <x:v>SCST-27</x:v>
      </x:c>
      <x:c r="B32" s="62" t="str">
        <x:v>Credit Guarantee Scheme for Micro and Small Enterprises</x:v>
      </x:c>
      <x:c r="C32" s="62" t="str">
        <x:v>CGTMSE</x:v>
      </x:c>
      <x:c r="D32" s="62" t="str">
        <x:v>Ministry of MSME + SIDBI</x:v>
      </x:c>
      <x:c r="E32" s="62" t="str">
        <x:v>SC/ST special coverage within MSE scheme</x:v>
      </x:c>
      <x:c r="F32" s="62" t="str">
        <x:v>Eligible MSEs borrowing from member lending institutions</x:v>
      </x:c>
      <x:c r="G32" s="62" t="str">
        <x:v>Credit guarantee</x:v>
      </x:c>
      <x:c r="H32" s="62" t="str">
        <x:v>ACTIVE</x:v>
      </x:c>
      <x:c r="I32" s="62" t="str">
        <x:v>Member lending institutions; guarantee filed by lender</x:v>
      </x:c>
      <x:c r="J32" s="62" t="str">
        <x:v>Improve collateral-free institutional credit access for MSEs.</x:v>
      </x:c>
      <x:c r="K32" s="62" t="str">
        <x:v>For SC/ST entrepreneurs, official CGTMSE coverage page lists 85% maximum guarantee coverage for credit facilities up to ₹5 lakh; the overall guarantee ceiling was raised to ₹10 crore, subject to scheme terms and lender appraisal.</x:v>
      </x:c>
      <x:c r="L32" s="62" t="str">
        <x:v>SC/ST coverage up to 85% for facilities up to ₹5 lakh; overall cap up to ₹10 crore.</x:v>
      </x:c>
      <x:c r="M32" s="62" t="str">
        <x:v>Eligible MSE, lender membership, Udyam and credit-facility parameters; SC/ST status for special coverage.</x:v>
      </x:c>
      <x:c r="N32" s="62" t="str">
        <x:v>Guarantee is not a loan/subsidy; lender appraisal, Udyam and current fee/coverage table must be checked.</x:v>
      </x:c>
      <x:c r="O32" s="62" t="str">
        <x:v>Udyam; SC/ST certificate; KYC; DPR/business plan; lender application; financials.</x:v>
      </x:c>
      <x:c r="P32" s="62" t="str">
        <x:v>Apply to a member lending institution; lender applies for guarantee.</x:v>
      </x:c>
      <x:c r="Q32" s="62" t="str">
        <x:v>https://www.cgtmse.in/Home/VS/3</x:v>
      </x:c>
      <x:c r="R32" s="62" t="str">
        <x:v>https://cgtmse.in/Default/ViewFile/?id=1743176302611_CGTMSE+-+Scheme+Document+CGS+I_updated+as+on+Apr+1+2025.pdf&amp;path=Page</x:v>
      </x:c>
      <x:c r="S32" s="62" t="str">
        <x:v>Official website / scheme document</x:v>
      </x:c>
      <x:c r="T32" s="62" t="str">
        <x:v>Complementary guarantee; never present as direct government cash.</x:v>
      </x:c>
      <x:c r="U32" s="62" t="str">
        <x:v>Collateral-free credit enhancer</x:v>
      </x:c>
      <x:c r="V32" s="63" t="n">
        <x:v>46261</x:v>
      </x:c>
    </x:row>
    <x:row r="33" ht="78" customHeight="1">
      <x:c r="A33" s="61" t="str">
        <x:v>SCST-28</x:v>
      </x:c>
      <x:c r="B33" s="62" t="str">
        <x:v>Micro and Small Enterprises Cluster Development Programme</x:v>
      </x:c>
      <x:c r="C33" s="62" t="str">
        <x:v>MSE-CDP</x:v>
      </x:c>
      <x:c r="D33" s="62" t="str">
        <x:v>Ministry of MSME</x:v>
      </x:c>
      <x:c r="E33" s="62" t="str">
        <x:v>SC/ST clusters get enhanced grant</x:v>
      </x:c>
      <x:c r="F33" s="62" t="str">
        <x:v>MSE clusters / SPVs / associations</x:v>
      </x:c>
      <x:c r="G33" s="62" t="str">
        <x:v>Cluster grant / common facility</x:v>
      </x:c>
      <x:c r="H33" s="62" t="str">
        <x:v>ACTIVE</x:v>
      </x:c>
      <x:c r="I33" s="62" t="str">
        <x:v>MSME / State Govt / SPV</x:v>
      </x:c>
      <x:c r="J33" s="62" t="str">
        <x:v>Improve technology, skills, quality, market access and common infrastructure for MSE clusters.</x:v>
      </x:c>
      <x:c r="K33" s="62" t="str">
        <x:v>For clusters with more than 50% SC/ST units, higher GoI grant rates may apply; current scheme booklet lists up to 80% for eligible CFC project bands, with project and SPV conditions.</x:v>
      </x:c>
      <x:c r="L33" s="62" t="str">
        <x:v>CFC and infrastructure grants are project-cost and geography dependent; enhanced share for qualifying SC/ST-heavy clusters.</x:v>
      </x:c>
      <x:c r="M33" s="62" t="str">
        <x:v>Eligible cluster / SPV; common facility or infrastructure project; state and steering committee approval.</x:v>
      </x:c>
      <x:c r="N33" s="62" t="str">
        <x:v>SC/ST share of cluster, SPV structure, DPR, land/building, state forwarding and project band require verification.</x:v>
      </x:c>
      <x:c r="O33" s="62" t="str">
        <x:v>Cluster membership; SPV documents; DPR; land/building; member list; financial contribution proof.</x:v>
      </x:c>
      <x:c r="P33" s="62" t="str">
        <x:v>Online proposal through State Government / MSME field institutes.</x:v>
      </x:c>
      <x:c r="Q33" s="62" t="str">
        <x:v>https://www.msme.gov.in/micro-small-enterprises-cluster-development-mse-cdp</x:v>
      </x:c>
      <x:c r="R33" s="62" t="str">
        <x:v>https://my.msme.gov.in/MyMsmeMob/MsmeScheme/Pages/0_2_3.html</x:v>
      </x:c>
      <x:c r="S33" s="62" t="str">
        <x:v>Official scheme page / official portal</x:v>
      </x:c>
      <x:c r="T33" s="62" t="str">
        <x:v>Indirect cluster benefit; not an individual loan.</x:v>
      </x:c>
      <x:c r="U33" s="62" t="str">
        <x:v>Useful for group / cluster projects</x:v>
      </x:c>
      <x:c r="V33" s="63" t="n">
        <x:v>46261</x:v>
      </x:c>
    </x:row>
    <x:row r="34" ht="78" customHeight="1">
      <x:c r="A34" s="61" t="str">
        <x:v>SCST-29</x:v>
      </x:c>
      <x:c r="B34" s="62" t="str">
        <x:v>Pradhan Mantri MUDRA Yojana</x:v>
      </x:c>
      <x:c r="C34" s="62" t="str">
        <x:v>PMMY</x:v>
      </x:c>
      <x:c r="D34" s="62" t="str">
        <x:v>Department of Financial Services / MUDRA</x:v>
      </x:c>
      <x:c r="E34" s="62" t="str">
        <x:v>SC/ST not exclusive; inclusive institutional credit</x:v>
      </x:c>
      <x:c r="F34" s="62" t="str">
        <x:v>Micro-enterprises and income-generating activities</x:v>
      </x:c>
      <x:c r="G34" s="62" t="str">
        <x:v>Collateral-free credit</x:v>
      </x:c>
      <x:c r="H34" s="62" t="str">
        <x:v>ACTIVE</x:v>
      </x:c>
      <x:c r="I34" s="62" t="str">
        <x:v>Banks, RRBs, SFBs, NBFCs, MFIs</x:v>
      </x:c>
      <x:c r="J34" s="62" t="str">
        <x:v>Provide institutional collateral-free credit for micro enterprises and allied activities.</x:v>
      </x:c>
      <x:c r="K34" s="62" t="str">
        <x:v>Shishu up to ₹50,000; Kishore above ₹50,000–₹5 lakh; Tarun above ₹5–₹10 lakh; Tarun Plus above ₹10–₹20 lakh for borrowers who successfully repaid a prior Tarun loan.</x:v>
      </x:c>
      <x:c r="L34" s="62" t="str">
        <x:v>Loan bands ₹50,000 / ₹5 lakh / ₹10 lakh / ₹20 lakh; collateral not required subject to lender terms.</x:v>
      </x:c>
      <x:c r="M34" s="62" t="str">
        <x:v>Eligible micro-enterprise / income-generating activity; lender appraisal; Tarun Plus prior Tarun repayment.</x:v>
      </x:c>
      <x:c r="N34" s="62" t="str">
        <x:v>Confirm lender policy, credit history, activity and category; scheme match is not loan approval.</x:v>
      </x:c>
      <x:c r="O34" s="62" t="str">
        <x:v>KYC; PAN; business plan; bank statement; quotations where relevant.</x:v>
      </x:c>
      <x:c r="P34" s="62" t="str">
        <x:v>Apply through participating lender; JanSamarth may provide scheme access.</x:v>
      </x:c>
      <x:c r="Q34" s="62" t="str">
        <x:v>https://financialservices.gov.in/pradhan-mantri-mudra-yojana-pmmy</x:v>
      </x:c>
      <x:c r="R34" s="62" t="str">
        <x:v>https://www.financialservices.gov.in/jansamarth</x:v>
      </x:c>
      <x:c r="S34" s="62" t="str">
        <x:v>Official DFS page / official portal</x:v>
      </x:c>
      <x:c r="T34" s="62" t="str">
        <x:v>Complementary general scheme; use as fallback when SC/ST-exclusive route is absent.</x:v>
      </x:c>
      <x:c r="U34" s="62" t="str">
        <x:v>Common fallback credit route</x:v>
      </x:c>
      <x:c r="V34" s="63" t="n">
        <x:v>46261</x:v>
      </x:c>
    </x:row>
    <x:row r="35" ht="78" customHeight="1">
      <x:c r="A35" s="61" t="str">
        <x:v>SCST-30</x:v>
      </x:c>
      <x:c r="B35" s="62" t="str">
        <x:v>PM Formalisation of Micro Food Processing Enterprises</x:v>
      </x:c>
      <x:c r="C35" s="62" t="str">
        <x:v>PMFME</x:v>
      </x:c>
      <x:c r="D35" s="62" t="str">
        <x:v>Ministry of Food Processing Industries</x:v>
      </x:c>
      <x:c r="E35" s="62" t="str">
        <x:v>SC/ST not exclusive; group and micro-food focus</x:v>
      </x:c>
      <x:c r="F35" s="62" t="str">
        <x:v>Individuals, SHGs, FPOs, cooperatives, common infrastructure</x:v>
      </x:c>
      <x:c r="G35" s="62" t="str">
        <x:v>Credit-linked subsidy / grant / formalisation</x:v>
      </x:c>
      <x:c r="H35" s="62" t="str">
        <x:v>ACTIVE_VERIFY</x:v>
      </x:c>
      <x:c r="I35" s="62" t="str">
        <x:v>State nodal agencies / banks / PMFME portal</x:v>
      </x:c>
      <x:c r="J35" s="62" t="str">
        <x:v>Formalise and upgrade micro food-processing units and groups.</x:v>
      </x:c>
      <x:c r="K35" s="62" t="str">
        <x:v>Individual units: credit-linked subsidy 35% of eligible project cost up to ₹10 lakh; minimum 10% beneficiary contribution; ODOP preference; group/common-infrastructure components have separate rules.</x:v>
      </x:c>
      <x:c r="L35" s="62" t="str">
        <x:v>35% subsidy; max ₹10 lakh per individual unit; 10% minimum beneficiary contribution.</x:v>
      </x:c>
      <x:c r="M35" s="62" t="str">
        <x:v>Component-specific: food-processing activity; individual vs group pathway; eligible project and contribution.</x:v>
      </x:c>
      <x:c r="N35" s="62" t="str">
        <x:v>Do not use flat rules: confirm component, new/existing status, ODOP, state implementation, DPR and bank finance.</x:v>
      </x:c>
      <x:c r="O35" s="62" t="str">
        <x:v>Aadhaar/KYC; DPR; bank statement; food registration where applicable; group records.</x:v>
      </x:c>
      <x:c r="P35" s="62" t="str">
        <x:v>Apply through PMFME portal / State Nodal Agency / bank.</x:v>
      </x:c>
      <x:c r="Q35" s="62" t="str">
        <x:v>https://pmfme.mofpi.gov.in/</x:v>
      </x:c>
      <x:c r="R35" s="62" t="str">
        <x:v>https://pmfme.mofpi.gov.in/pmfme/assets/PDF/Scheme%20Guidelines/SchemeGuidelines-English.pdf</x:v>
      </x:c>
      <x:c r="S35" s="62" t="str">
        <x:v>Official portal / guideline</x:v>
      </x:c>
      <x:c r="T35" s="62" t="str">
        <x:v>Component-based; current intake must be verified due original scheme period.</x:v>
      </x:c>
      <x:c r="U35" s="62" t="str">
        <x:v>Food-processing specialization</x:v>
      </x:c>
      <x:c r="V35" s="63" t="n">
        <x:v>46261</x:v>
      </x:c>
    </x:row>
    <x:row r="36" ht="78" customHeight="1">
      <x:c r="A36" s="61" t="str">
        <x:v>SCST-31</x:v>
      </x:c>
      <x:c r="B36" s="62" t="str">
        <x:v>PM Vishwakarma</x:v>
      </x:c>
      <x:c r="C36" s="62" t="str">
        <x:v>PMV</x:v>
      </x:c>
      <x:c r="D36" s="62" t="str">
        <x:v>Ministry of MSME</x:v>
      </x:c>
      <x:c r="E36" s="62" t="str">
        <x:v>SC/ST not exclusive; traditional artisans</x:v>
      </x:c>
      <x:c r="F36" s="62" t="str">
        <x:v>Artisans and craftspeople in notified trades</x:v>
      </x:c>
      <x:c r="G36" s="62" t="str">
        <x:v>Recognition / toolkit / credit / training</x:v>
      </x:c>
      <x:c r="H36" s="62" t="str">
        <x:v>ACTIVE</x:v>
      </x:c>
      <x:c r="I36" s="62" t="str">
        <x:v>PM Vishwakarma portal / CSC / implementing institutions</x:v>
      </x:c>
      <x:c r="J36" s="62" t="str">
        <x:v>Support traditional artisans through recognition, skill upgradation, toolkit assistance, credit and market linkage.</x:v>
      </x:c>
      <x:c r="K36" s="62" t="str">
        <x:v>Certificate and ID; basic/advanced training; toolkit incentive ₹15,000; collateral-free credit up to ₹3 lakh in two tranches at 5%; digital and marketing incentives.</x:v>
      </x:c>
      <x:c r="L36" s="62" t="str">
        <x:v>₹15,000 toolkit incentive; credit up to ₹3 lakh; 5% interest; 18 trades, with current portal/dashboard trade labels to be verified.</x:v>
      </x:c>
      <x:c r="M36" s="62" t="str">
        <x:v>Age 18+; currently practising notified trade; self-employed/informal; government-employee and family-registration exclusions; component conditions.</x:v>
      </x:c>
      <x:c r="N36" s="62" t="str">
        <x:v>Confirm current notified trade list, family-registration, prior-loan exceptions and portal verification.</x:v>
      </x:c>
      <x:c r="O36" s="62" t="str">
        <x:v>Aadhaar; bank details; artisan/trade evidence; local verification; training/registration documents.</x:v>
      </x:c>
      <x:c r="P36" s="62" t="str">
        <x:v>Register via PM Vishwakarma portal / CSC; loan through participating lenders.</x:v>
      </x:c>
      <x:c r="Q36" s="62" t="str">
        <x:v>https://pmvishwakarma.gov.in/</x:v>
      </x:c>
      <x:c r="R36" s="62" t="str">
        <x:v>https://msme.gov.in/sites/default/files/July-SeptemberInsider2023v2.0.pdf</x:v>
      </x:c>
      <x:c r="S36" s="62" t="str">
        <x:v>Official portal / MSME publication</x:v>
      </x:c>
      <x:c r="T36" s="62" t="str">
        <x:v>Complementary artisan scheme; category is not the hard gate.</x:v>
      </x:c>
      <x:c r="U36" s="62" t="str">
        <x:v>Traditional-trade pathway</x:v>
      </x:c>
      <x:c r="V36" s="63" t="n">
        <x:v>46261</x:v>
      </x:c>
    </x:row>
    <x:row r="37" ht="78" customHeight="1">
      <x:c r="A37" s="61" t="str">
        <x:v>SCST-32</x:v>
      </x:c>
      <x:c r="B37" s="62" t="str">
        <x:v>Scheme of Fund for Regeneration of Traditional Industries</x:v>
      </x:c>
      <x:c r="C37" s="62" t="str">
        <x:v>SFURTI</x:v>
      </x:c>
      <x:c r="D37" s="62" t="str">
        <x:v>Ministry of MSME / KVIC / Coir Board</x:v>
      </x:c>
      <x:c r="E37" s="62" t="str">
        <x:v>SC/ST artisans can benefit within clusters</x:v>
      </x:c>
      <x:c r="F37" s="62" t="str">
        <x:v>Traditional-industry artisans and cluster institutions</x:v>
      </x:c>
      <x:c r="G37" s="62" t="str">
        <x:v>Cluster grant / common facilities</x:v>
      </x:c>
      <x:c r="H37" s="62" t="str">
        <x:v>ACTIVE</x:v>
      </x:c>
      <x:c r="I37" s="62" t="str">
        <x:v>Implementing agencies / cluster SPVs</x:v>
      </x:c>
      <x:c r="J37" s="62" t="str">
        <x:v>Regenerate traditional industries through clusters, common facilities, skills, design and market support.</x:v>
      </x:c>
      <x:c r="K37" s="62" t="str">
        <x:v>Soft and hard interventions, common facilities, skills, design, market linkage and cluster infrastructure; assistance is project and cluster based.</x:v>
      </x:c>
      <x:c r="L37" s="62" t="str">
        <x:v>Project-specific; no single individual cash ceiling.</x:v>
      </x:c>
      <x:c r="M37" s="62" t="str">
        <x:v>Artisan/worker linked to eligible traditional-industry cluster; implementing agency and project approval.</x:v>
      </x:c>
      <x:c r="N37" s="62" t="str">
        <x:v>Individuals normally access through an approved cluster; confirm local cluster and implementing agency.</x:v>
      </x:c>
      <x:c r="O37" s="62" t="str">
        <x:v>Artisan evidence; cluster membership; KYC; group/agency documents; business plan.</x:v>
      </x:c>
      <x:c r="P37" s="62" t="str">
        <x:v>Through approved implementing agencies / SFURTI portal.</x:v>
      </x:c>
      <x:c r="Q37" s="62" t="str">
        <x:v>https://sfurti.msme.gov.in/SFURTI/Home.aspx</x:v>
      </x:c>
      <x:c r="R37" s="62" t="str">
        <x:v>https://msme.gov.in/sites/default/files/SFURTI_GUIDELINES_REVISED.pdf</x:v>
      </x:c>
      <x:c r="S37" s="62" t="str">
        <x:v>Official portal / guideline</x:v>
      </x:c>
      <x:c r="T37" s="62" t="str">
        <x:v>Indirect cluster opportunity; not individual direct finance.</x:v>
      </x:c>
      <x:c r="U37" s="62" t="str">
        <x:v>Traditional-artisan collective route</x:v>
      </x:c>
      <x:c r="V37" s="63" t="n">
        <x:v>46261</x:v>
      </x:c>
    </x:row>
    <x:row r="38" ht="78" customHeight="1">
      <x:c r="A38" s="61" t="str">
        <x:v>SCST-33</x:v>
      </x:c>
      <x:c r="B38" s="62" t="str">
        <x:v>DAY-NRLM Start-up Village Entrepreneurship Programme</x:v>
      </x:c>
      <x:c r="C38" s="62" t="str">
        <x:v>SVEP</x:v>
      </x:c>
      <x:c r="D38" s="62" t="str">
        <x:v>Ministry of Rural Development / DAY-NRLM</x:v>
      </x:c>
      <x:c r="E38" s="62" t="str">
        <x:v>SC/ST eligible within rural SHG ecosystem</x:v>
      </x:c>
      <x:c r="F38" s="62" t="str">
        <x:v>Rural SHG members / family members / non-farm enterprises</x:v>
      </x:c>
      <x:c r="G38" s="62" t="str">
        <x:v>Rural enterprise development</x:v>
      </x:c>
      <x:c r="H38" s="62" t="str">
        <x:v>ACTIVE</x:v>
      </x:c>
      <x:c r="I38" s="62" t="str">
        <x:v>SRLM / Block Project Implementation Unit / CBOs</x:v>
      </x:c>
      <x:c r="J38" s="62" t="str">
        <x:v>Provide finance, mentoring and enterprise-development support for rural non-farm businesses.</x:v>
      </x:c>
      <x:c r="K38" s="62" t="str">
        <x:v>Community-based enterprise support, training, mentoring and finance through SHG institutions in approved SVEP blocks; exact support varies by state/block.</x:v>
      </x:c>
      <x:c r="L38" s="62" t="str">
        <x:v>Block / project specific; no single national individual ceiling.</x:v>
      </x:c>
      <x:c r="M38" s="62" t="str">
        <x:v>Rural location; suitable non-farm activity; SHG/family linkage and approved block conditions.</x:v>
      </x:c>
      <x:c r="N38" s="62" t="str">
        <x:v>Confirm block coverage, SHG/family linkage, community viability and state operating model.</x:v>
      </x:c>
      <x:c r="O38" s="62" t="str">
        <x:v>Aadhaar/KYC; SHG evidence; business plan; bank details; local residence/activity proof.</x:v>
      </x:c>
      <x:c r="P38" s="62" t="str">
        <x:v>Through State Rural Livelihood Mission / approved block institutions.</x:v>
      </x:c>
      <x:c r="Q38" s="62" t="str">
        <x:v>https://www.svep.nrlm.gov.in/landing</x:v>
      </x:c>
      <x:c r="R38" s="62" t="str">
        <x:v>https://nrlm.gov.in/</x:v>
      </x:c>
      <x:c r="S38" s="62" t="str">
        <x:v>Official programme portal</x:v>
      </x:c>
      <x:c r="T38" s="62" t="str">
        <x:v>Indirect implementation; not direct SC/ST-only credit.</x:v>
      </x:c>
      <x:c r="U38" s="62" t="str">
        <x:v>Rural micro-enterprise support</x:v>
      </x:c>
      <x:c r="V38" s="63" t="n">
        <x:v>46261</x:v>
      </x:c>
    </x:row>
    <x:row r="39" ht="78" customHeight="1">
      <x:c r="A39" s="61" t="str">
        <x:v>SCST-34</x:v>
      </x:c>
      <x:c r="B39" s="62" t="str">
        <x:v>DAY-NULM Self Employment Programme</x:v>
      </x:c>
      <x:c r="C39" s="62" t="str">
        <x:v>DAY-NULM-SEP</x:v>
      </x:c>
      <x:c r="D39" s="62" t="str">
        <x:v>Ministry of Housing and Urban Affairs</x:v>
      </x:c>
      <x:c r="E39" s="62" t="str">
        <x:v>SC/ST eligible within urban-poor target group</x:v>
      </x:c>
      <x:c r="F39" s="62" t="str">
        <x:v>Urban poor individuals and groups</x:v>
      </x:c>
      <x:c r="G39" s="62" t="str">
        <x:v>Interest-subsidised enterprise finance</x:v>
      </x:c>
      <x:c r="H39" s="62" t="str">
        <x:v>ACTIVE</x:v>
      </x:c>
      <x:c r="I39" s="62" t="str">
        <x:v>Urban Local Bodies / NULM</x:v>
      </x:c>
      <x:c r="J39" s="62" t="str">
        <x:v>Support self-employment ventures for eligible urban poor individuals and groups.</x:v>
      </x:c>
      <x:c r="K39" s="62" t="str">
        <x:v>Interest-subsidised loans, enterprise-development and group support; project and local ULB conditions apply.</x:v>
      </x:c>
      <x:c r="L39" s="62" t="str">
        <x:v>Individual and group ceilings vary by current DAY-NULM guidelines and ULB implementation.</x:v>
      </x:c>
      <x:c r="M39" s="62" t="str">
        <x:v>Urban poor; covered town/ULB; viable self-employment activity; local beneficiary selection.</x:v>
      </x:c>
      <x:c r="N39" s="62" t="str">
        <x:v>Confirm urban-poor eligibility, ULB coverage, project size and current local intake.</x:v>
      </x:c>
      <x:c r="O39" s="62" t="str">
        <x:v>KYC; urban-poor/residence proof; DPR; bank details; group documents where relevant.</x:v>
      </x:c>
      <x:c r="P39" s="62" t="str">
        <x:v>Through ULB / City Mission Manager / DAY-NULM route.</x:v>
      </x:c>
      <x:c r="Q39" s="62" t="str">
        <x:v>https://nulm.gov.in/</x:v>
      </x:c>
      <x:c r="R39" s="62" t="str">
        <x:v>https://nulm.gov.in/</x:v>
      </x:c>
      <x:c r="S39" s="62" t="str">
        <x:v>Official portal</x:v>
      </x:c>
      <x:c r="T39" s="62" t="str">
        <x:v>Indirect/general scheme; use as a location-based complementary match.</x:v>
      </x:c>
      <x:c r="U39" s="62" t="str">
        <x:v>Urban livelihood support</x:v>
      </x:c>
      <x:c r="V39" s="63" t="n">
        <x:v>46261</x:v>
      </x:c>
    </x:row>
    <x:row r="40" ht="78" customHeight="1">
      <x:c r="A40" s="61" t="str">
        <x:v>SCST-35</x:v>
      </x:c>
      <x:c r="B40" s="62" t="str">
        <x:v>Stand-Up India</x:v>
      </x:c>
      <x:c r="C40" s="62" t="str">
        <x:v>SUPI</x:v>
      </x:c>
      <x:c r="D40" s="62" t="str">
        <x:v>Department of Financial Services</x:v>
      </x:c>
      <x:c r="E40" s="62" t="str">
        <x:v>SC/ST and women</x:v>
      </x:c>
      <x:c r="F40" s="62" t="str">
        <x:v>SC/ST and women entrepreneurs</x:v>
      </x:c>
      <x:c r="G40" s="62" t="str">
        <x:v>Composite bank loan</x:v>
      </x:c>
      <x:c r="H40" s="62" t="str">
        <x:v>SUPERSEDED</x:v>
      </x:c>
      <x:c r="I40" s="62" t="str">
        <x:v>Historical Standup Mitra / JanSamarth route</x:v>
      </x:c>
      <x:c r="J40" s="62" t="str">
        <x:v>Historically supported greenfield enterprises through composite loans.</x:v>
      </x:c>
      <x:c r="K40" s="62" t="str">
        <x:v>Historical terms: ₹10 lakh–₹1 crore composite loan, greenfield manufacturing/services/trading/allied agriculture, up to 7-year repayment and minimum 10% own contribution.</x:v>
      </x:c>
      <x:c r="L40" s="62" t="str">
        <x:v>Historical loan ₹10 lakh–₹1 crore; up to 7 years; minimum 10% own contribution.</x:v>
      </x:c>
      <x:c r="M40" s="62" t="str">
        <x:v>Historical: age 18+, greenfield, non-default, SC/ST or woman promoter.</x:v>
      </x:c>
      <x:c r="N40" s="62" t="str">
        <x:v>Official DFS page states scheme was only up to 31-Mar-2025 and a replacement scheme was under preparation; do not recommend as current.</x:v>
      </x:c>
      <x:c r="O40" s="62" t="str">
        <x:v>Historical KYC; category proof; greenfield project report; bank documents.</x:v>
      </x:c>
      <x:c r="P40" s="62" t="str">
        <x:v>No current application recommendation; monitor DFS for successor scheme.</x:v>
      </x:c>
      <x:c r="Q40" s="62" t="str">
        <x:v>https://financialservices.gov.in/stand-india-scheme-supi</x:v>
      </x:c>
      <x:c r="R40" s="62" t="str">
        <x:v>https://financialservices.gov.in/stand-india-scheme-supi</x:v>
      </x:c>
      <x:c r="S40" s="62" t="str">
        <x:v>Official DFS status page</x:v>
      </x:c>
      <x:c r="T40" s="62" t="str">
        <x:v>Superseded; included to prevent stale-data errors in project.</x:v>
      </x:c>
      <x:c r="U40" s="62" t="str">
        <x:v>Status-control test case</x:v>
      </x:c>
      <x:c r="V40" s="63" t="n">
        <x:v>46261</x:v>
      </x:c>
    </x:row>
    <x:row r="41" ht="78" customHeight="1">
      <x:c r="A41" s="64" t="str">
        <x:v>SCST-36</x:v>
      </x:c>
      <x:c r="B41" s="65" t="str">
        <x:v>New first-time entrepreneur scheme announced in Union Budget 2025-26</x:v>
      </x:c>
      <x:c r="C41" s="65" t="str">
        <x:v>FIRST-TIMER-2CR</x:v>
      </x:c>
      <x:c r="D41" s="65" t="str">
        <x:v>Department of Financial Services / Government of India</x:v>
      </x:c>
      <x:c r="E41" s="65" t="str">
        <x:v>SC, ST and women first-time entrepreneurs</x:v>
      </x:c>
      <x:c r="F41" s="65" t="str">
        <x:v>First-time entrepreneurs</x:v>
      </x:c>
      <x:c r="G41" s="65" t="str">
        <x:v>Announced term-loan scheme</x:v>
      </x:c>
      <x:c r="H41" s="65" t="str">
        <x:v>ANNOUNCED_NOT_OPERATIONAL</x:v>
      </x:c>
      <x:c r="I41" s="65" t="str">
        <x:v>To be notified; successor to Stand-Up India concept</x:v>
      </x:c>
      <x:c r="J41" s="65" t="str">
        <x:v>Proposed successor with online capacity building and term loans for first-time entrepreneurs.</x:v>
      </x:c>
      <x:c r="K41" s="65" t="str">
        <x:v>Budget announcement: term loans up to ₹2 crore for 5 lakh women, SC and ST first-time entrepreneurs over 5 years; official DFS page says EFC note was under preparation.</x:v>
      </x:c>
      <x:c r="L41" s="65" t="str">
        <x:v>Proposed term loan up to ₹2 crore; 5 lakh beneficiaries over 5 years.</x:v>
      </x:c>
      <x:c r="M41" s="65" t="str">
        <x:v>Not yet notified; final eligibility, lender route, subsidy/guarantee and application process unknown.</x:v>
      </x:c>
      <x:c r="N41" s="65" t="str">
        <x:v>Must remain in ‘announced/not operational’ state until official guidelines and portal are published.</x:v>
      </x:c>
      <x:c r="O41" s="65" t="str">
        <x:v>TBD; do not collect as an application checklist yet.</x:v>
      </x:c>
      <x:c r="P41" s="65" t="str">
        <x:v>Monitor Department of Financial Services / Union Budget updates.</x:v>
      </x:c>
      <x:c r="Q41" s="65" t="str">
        <x:v>https://financialservices.gov.in/stand-india-scheme-supi</x:v>
      </x:c>
      <x:c r="R41" s="65" t="str">
        <x:v>https://financialservices.gov.in/stand-india-scheme-supi</x:v>
      </x:c>
      <x:c r="S41" s="65" t="str">
        <x:v>Official status page</x:v>
      </x:c>
      <x:c r="T41" s="65" t="str">
        <x:v>Include as a watchlist item only; never present as currently available.</x:v>
      </x:c>
      <x:c r="U41" s="65" t="str">
        <x:v>Future-policy watchlist</x:v>
      </x:c>
      <x:c r="V41" s="66" t="n">
        <x:v>46261</x:v>
      </x:c>
    </x:row>
  </x:sheetData>
  <x:mergeCells>
    <x:mergeCell ref="A1:V1"/>
    <x:mergeCell ref="A2:V2"/>
  </x:mergeCells>
  <x:conditionalFormatting sqref="H6:H41">
    <x:cfRule type="containsText" dxfId="0" priority="1" operator="containsText" text="SUPERSEDED"/>
    <x:cfRule type="containsText" dxfId="1" priority="2" operator="containsText" text="ANNOUNCED"/>
    <x:cfRule type="containsText" dxfId="2" priority="3" operator="containsText" text="ACTIVE"/>
  </x:conditionalFormatting>
  <x:dataValidations count="1">
    <x:dataValidation type="list" sqref="H6:H41">
      <x:formula1>"ACTIVE,ACTIVE_COMPONENT,ACTIVE_VERIFY,SUPERSEDED,ANNOUNCED_NOT_OPERATIONAL"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d02ad98a294d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6" hidden="0" customWidth="1"/>
    <x:col min="5" max="5" width="28" hidden="0" customWidth="1"/>
    <x:col min="6" max="6" width="16" hidden="0" customWidth="1"/>
    <x:col min="7" max="7" width="34" hidden="0" customWidth="1"/>
    <x:col min="8" max="8" width="42" hidden="0" customWidth="1"/>
    <x:col min="9" max="9" width="20" hidden="0" customWidth="1"/>
    <x:col min="10" max="10" width="46" hidden="0" customWidth="1"/>
    <x:col min="11" max="11" width="44" hidden="0" customWidth="1"/>
  </x:cols>
  <x:sheetData>
    <x:row r="1" ht="34" customHeight="1">
      <x:c r="A1" s="4" t="str">
        <x:v>Scheme Rules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8" t="str">
        <x:v>Rule-engine-ready data. HARD rules can block eligibility; CONDITIONAL rules trigger only when their condition is met; SOFT rules affect ranking; VERIFY and STATUS prevent overclaiming.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5">
      <x:c r="A5" s="17" t="str">
        <x:v>Rule ID</x:v>
      </x:c>
      <x:c r="B5" s="17" t="str">
        <x:v>Scheme ID</x:v>
      </x:c>
      <x:c r="C5" s="17" t="str">
        <x:v>Component</x:v>
      </x:c>
      <x:c r="D5" s="17" t="str">
        <x:v>Rule Class</x:v>
      </x:c>
      <x:c r="E5" s="17" t="str">
        <x:v>Profile Field</x:v>
      </x:c>
      <x:c r="F5" s="17" t="str">
        <x:v>Operator</x:v>
      </x:c>
      <x:c r="G5" s="17" t="str">
        <x:v>Value / Logic</x:v>
      </x:c>
      <x:c r="H5" s="17" t="str">
        <x:v>Plain-English Requirement</x:v>
      </x:c>
      <x:c r="I5" s="17" t="str">
        <x:v>Engine Effect</x:v>
      </x:c>
      <x:c r="J5" s="17" t="str">
        <x:v>Implementation Note</x:v>
      </x:c>
      <x:c r="K5" s="17" t="str">
        <x:v>Source URL</x:v>
      </x:c>
    </x:row>
    <x:row r="6" ht="52" customHeight="1">
      <x:c r="A6" s="67" t="str">
        <x:v>R-001</x:v>
      </x:c>
      <x:c r="B6" s="59" t="str">
        <x:v>SCST-02</x:v>
      </x:c>
      <x:c r="C6" s="59" t="str">
        <x:v>SCLCSS</x:v>
      </x:c>
      <x:c r="D6" s="59" t="str">
        <x:v>HARD</x:v>
      </x:c>
      <x:c r="E6" s="59" t="str">
        <x:v>social_category</x:v>
      </x:c>
      <x:c r="F6" s="59" t="str">
        <x:v>IN</x:v>
      </x:c>
      <x:c r="G6" s="59" t="str">
        <x:v>SC | ST</x:v>
      </x:c>
      <x:c r="H6" s="59" t="str">
        <x:v>SC/ST-owned MSE required</x:v>
      </x:c>
      <x:c r="I6" s="59" t="str">
        <x:v>Hard gate</x:v>
      </x:c>
      <x:c r="J6" s="59" t="str">
        <x:v>SC/ST ownership is a core SCLCSS condition.</x:v>
      </x:c>
      <x:c r="K6" s="68" t="str">
        <x:v>https://sclcss.msme.gov.in/Manual/Guidelines.pdf</x:v>
      </x:c>
    </x:row>
    <x:row r="7" ht="52" customHeight="1">
      <x:c r="A7" s="69" t="str">
        <x:v>R-002</x:v>
      </x:c>
      <x:c r="B7" s="62" t="str">
        <x:v>SCST-02</x:v>
      </x:c>
      <x:c r="C7" s="62" t="str">
        <x:v>SCLCSS</x:v>
      </x:c>
      <x:c r="D7" s="62" t="str">
        <x:v>HARD</x:v>
      </x:c>
      <x:c r="E7" s="62" t="str">
        <x:v>ownership_sc_st_pct</x:v>
      </x:c>
      <x:c r="F7" s="62" t="str">
        <x:v>&gt;=</x:v>
      </x:c>
      <x:c r="G7" s="62" t="str">
        <x:v>51% or notified definition</x:v>
      </x:c>
      <x:c r="H7" s="62" t="str">
        <x:v>Ownership/control must meet applicable SC/ST definition</x:v>
      </x:c>
      <x:c r="I7" s="62" t="str">
        <x:v>Hard gate</x:v>
      </x:c>
      <x:c r="J7" s="62" t="str">
        <x:v>Confirm constitution-specific ownership definition.</x:v>
      </x:c>
      <x:c r="K7" s="70" t="str">
        <x:v>https://sclcss.msme.gov.in/Manual/Guidelines.pdf</x:v>
      </x:c>
    </x:row>
    <x:row r="8" ht="52" customHeight="1">
      <x:c r="A8" s="69" t="str">
        <x:v>R-003</x:v>
      </x:c>
      <x:c r="B8" s="62" t="str">
        <x:v>SCST-02</x:v>
      </x:c>
      <x:c r="C8" s="62" t="str">
        <x:v>SCLCSS</x:v>
      </x:c>
      <x:c r="D8" s="62" t="str">
        <x:v>HARD</x:v>
      </x:c>
      <x:c r="E8" s="62" t="str">
        <x:v>project_sector</x:v>
      </x:c>
      <x:c r="F8" s="62" t="str">
        <x:v>IN</x:v>
      </x:c>
      <x:c r="G8" s="62" t="str">
        <x:v>Manufacturing | Service</x:v>
      </x:c>
      <x:c r="H8" s="62" t="str">
        <x:v>Eligible sector</x:v>
      </x:c>
      <x:c r="I8" s="62" t="str">
        <x:v>Hard gate</x:v>
      </x:c>
      <x:c r="J8" s="62" t="str">
        <x:v>Trading is excluded in the modelled SCLCSS pathway.</x:v>
      </x:c>
      <x:c r="K8" s="70" t="str">
        <x:v>https://sclcss.msme.gov.in/Manual/Guidelines.pdf</x:v>
      </x:c>
    </x:row>
    <x:row r="9" ht="52" customHeight="1">
      <x:c r="A9" s="69" t="str">
        <x:v>R-004</x:v>
      </x:c>
      <x:c r="B9" s="62" t="str">
        <x:v>SCST-02</x:v>
      </x:c>
      <x:c r="C9" s="62" t="str">
        <x:v>SCLCSS</x:v>
      </x:c>
      <x:c r="D9" s="62" t="str">
        <x:v>HARD</x:v>
      </x:c>
      <x:c r="E9" s="62" t="str">
        <x:v>has_capital_expenditure</x:v>
      </x:c>
      <x:c r="F9" s="62" t="str">
        <x:v>=</x:v>
      </x:c>
      <x:c r="G9" s="62" t="str">
        <x:v>TRUE</x:v>
      </x:c>
      <x:c r="H9" s="62" t="str">
        <x:v>New plant, machinery or equipment required</x:v>
      </x:c>
      <x:c r="I9" s="62" t="str">
        <x:v>Hard gate</x:v>
      </x:c>
      <x:c r="J9" s="62" t="str">
        <x:v>Link to eligible institutional term loan.</x:v>
      </x:c>
      <x:c r="K9" s="70" t="str">
        <x:v>https://sclcss.msme.gov.in/Manual/Guidelines.pdf</x:v>
      </x:c>
    </x:row>
    <x:row r="10" ht="52" customHeight="1">
      <x:c r="A10" s="69" t="str">
        <x:v>R-005</x:v>
      </x:c>
      <x:c r="B10" s="62" t="str">
        <x:v>SCST-02</x:v>
      </x:c>
      <x:c r="C10" s="62" t="str">
        <x:v>SCLCSS</x:v>
      </x:c>
      <x:c r="D10" s="62" t="str">
        <x:v>VERIFY</x:v>
      </x:c>
      <x:c r="E10" s="62" t="str">
        <x:v>has_udyam_registration</x:v>
      </x:c>
      <x:c r="F10" s="62" t="str">
        <x:v>=</x:v>
      </x:c>
      <x:c r="G10" s="62" t="str">
        <x:v>TRUE</x:v>
      </x:c>
      <x:c r="H10" s="62" t="str">
        <x:v>Udyam and MSE status to verify</x:v>
      </x:c>
      <x:c r="I10" s="62" t="str">
        <x:v>Verification</x:v>
      </x:c>
      <x:c r="J10" s="62" t="str">
        <x:v>Confirm current registration and lender process.</x:v>
      </x:c>
      <x:c r="K10" s="70" t="str">
        <x:v>https://sclcss.msme.gov.in/Manual/Guidelines.pdf</x:v>
      </x:c>
    </x:row>
    <x:row r="11" ht="52" customHeight="1">
      <x:c r="A11" s="69" t="str">
        <x:v>R-006</x:v>
      </x:c>
      <x:c r="B11" s="62" t="str">
        <x:v>SCST-02</x:v>
      </x:c>
      <x:c r="C11" s="62" t="str">
        <x:v>SCLCSS</x:v>
      </x:c>
      <x:c r="D11" s="62" t="str">
        <x:v>SOFT</x:v>
      </x:c>
      <x:c r="E11" s="62" t="str">
        <x:v>project_cost_inr</x:v>
      </x:c>
      <x:c r="F11" s="62" t="str">
        <x:v>&lt;=</x:v>
      </x:c>
      <x:c r="G11" s="62" t="str">
        <x:v>100000000</x:v>
      </x:c>
      <x:c r="H11" s="62" t="str">
        <x:v>Eligible finance base up to ₹1 crore; subsidy cap ₹25 lakh</x:v>
      </x:c>
      <x:c r="I11" s="62" t="str">
        <x:v>Ranking / benefit</x:v>
      </x:c>
      <x:c r="J11" s="62" t="str">
        <x:v>25% subsidy is capped at ₹25 lakh.</x:v>
      </x:c>
      <x:c r="K11" s="70" t="str">
        <x:v>https://sclcss.msme.gov.in/Manual/Guidelines.pdf</x:v>
      </x:c>
    </x:row>
    <x:row r="12" ht="52" customHeight="1">
      <x:c r="A12" s="69" t="str">
        <x:v>R-007</x:v>
      </x:c>
      <x:c r="B12" s="62" t="str">
        <x:v>SCST-06</x:v>
      </x:c>
      <x:c r="C12" s="62" t="str">
        <x:v>PPP-MSE</x:v>
      </x:c>
      <x:c r="D12" s="62" t="str">
        <x:v>HARD</x:v>
      </x:c>
      <x:c r="E12" s="62" t="str">
        <x:v>ownership_sc_st_pct</x:v>
      </x:c>
      <x:c r="F12" s="62" t="str">
        <x:v>&gt;=</x:v>
      </x:c>
      <x:c r="G12" s="62" t="str">
        <x:v>51%</x:v>
      </x:c>
      <x:c r="H12" s="62" t="str">
        <x:v>SC/ST-owned MSE definition applies</x:v>
      </x:c>
      <x:c r="I12" s="62" t="str">
        <x:v>Hard gate</x:v>
      </x:c>
      <x:c r="J12" s="62" t="str">
        <x:v>Constitution-specific definition must be checked.</x:v>
      </x:c>
      <x:c r="K12" s="70" t="str">
        <x:v>https://my.msme.gov.in/MyMsme/Reg/PPP_Home.aspx</x:v>
      </x:c>
    </x:row>
    <x:row r="13" ht="52" customHeight="1">
      <x:c r="A13" s="69" t="str">
        <x:v>R-008</x:v>
      </x:c>
      <x:c r="B13" s="62" t="str">
        <x:v>SCST-06</x:v>
      </x:c>
      <x:c r="C13" s="62" t="str">
        <x:v>PPP-MSE</x:v>
      </x:c>
      <x:c r="D13" s="62" t="str">
        <x:v>VERIFY</x:v>
      </x:c>
      <x:c r="E13" s="62" t="str">
        <x:v>has_udyam_registration</x:v>
      </x:c>
      <x:c r="F13" s="62" t="str">
        <x:v>=</x:v>
      </x:c>
      <x:c r="G13" s="62" t="str">
        <x:v>TRUE</x:v>
      </x:c>
      <x:c r="H13" s="62" t="str">
        <x:v>MSE status and tender registration</x:v>
      </x:c>
      <x:c r="I13" s="62" t="str">
        <x:v>Verification</x:v>
      </x:c>
      <x:c r="J13" s="62" t="str">
        <x:v>Procurement benefits depend on tender and registration rules.</x:v>
      </x:c>
      <x:c r="K13" s="70" t="str">
        <x:v>https://www.msme.gov.in/public-procrument-policy</x:v>
      </x:c>
    </x:row>
    <x:row r="14" ht="52" customHeight="1">
      <x:c r="A14" s="69" t="str">
        <x:v>R-009</x:v>
      </x:c>
      <x:c r="B14" s="62" t="str">
        <x:v>SCST-08</x:v>
      </x:c>
      <x:c r="C14" s="62" t="str">
        <x:v>VCF-SC</x:v>
      </x:c>
      <x:c r="D14" s="62" t="str">
        <x:v>HARD</x:v>
      </x:c>
      <x:c r="E14" s="62" t="str">
        <x:v>social_category</x:v>
      </x:c>
      <x:c r="F14" s="62" t="str">
        <x:v>=</x:v>
      </x:c>
      <x:c r="G14" s="62" t="str">
        <x:v>SC</x:v>
      </x:c>
      <x:c r="H14" s="62" t="str">
        <x:v>SC promoter required</x:v>
      </x:c>
      <x:c r="I14" s="62" t="str">
        <x:v>Hard gate</x:v>
      </x:c>
      <x:c r="J14" s="62" t="str">
        <x:v>The fund is targeted to SC entrepreneurs.</x:v>
      </x:c>
      <x:c r="K14" s="70" t="str">
        <x:v>https://www.ifciventure.com/venture-capital-fund-scheduled-castes-vcf-sc-and-venture-capital-fund-backward-classes-vcf-bc.aspx</x:v>
      </x:c>
    </x:row>
    <x:row r="15" ht="52" customHeight="1">
      <x:c r="A15" s="69" t="str">
        <x:v>R-010</x:v>
      </x:c>
      <x:c r="B15" s="62" t="str">
        <x:v>SCST-08</x:v>
      </x:c>
      <x:c r="C15" s="62" t="str">
        <x:v>VCF-SC</x:v>
      </x:c>
      <x:c r="D15" s="62" t="str">
        <x:v>CONDITIONAL</x:v>
      </x:c>
      <x:c r="E15" s="62" t="str">
        <x:v>project_cost_inr</x:v>
      </x:c>
      <x:c r="F15" s="62" t="str">
        <x:v>BETWEEN</x:v>
      </x:c>
      <x:c r="G15" s="62" t="str">
        <x:v>1000000 and 150000000</x:v>
      </x:c>
      <x:c r="H15" s="62" t="str">
        <x:v>Ticket-size and fund appraisal fit</x:v>
      </x:c>
      <x:c r="I15" s="62" t="str">
        <x:v>Conditional</x:v>
      </x:c>
      <x:c r="J15" s="62" t="str">
        <x:v>Use current fund guidelines and investment committee appraisal.</x:v>
      </x:c>
      <x:c r="K15" s="70" t="str">
        <x:v>https://www.pib.gov.in/PressReleasePage.aspx?PRID=2209488&amp;lang=1&amp;reg=1</x:v>
      </x:c>
    </x:row>
    <x:row r="16" ht="52" customHeight="1">
      <x:c r="A16" s="69" t="str">
        <x:v>R-011</x:v>
      </x:c>
      <x:c r="B16" s="62" t="str">
        <x:v>SCST-09</x:v>
      </x:c>
      <x:c r="C16" s="62" t="str">
        <x:v>ASIIM</x:v>
      </x:c>
      <x:c r="D16" s="62" t="str">
        <x:v>HARD</x:v>
      </x:c>
      <x:c r="E16" s="62" t="str">
        <x:v>social_category</x:v>
      </x:c>
      <x:c r="F16" s="62" t="str">
        <x:v>=</x:v>
      </x:c>
      <x:c r="G16" s="62" t="str">
        <x:v>SC</x:v>
      </x:c>
      <x:c r="H16" s="62" t="str">
        <x:v>SC innovator / youth target group</x:v>
      </x:c>
      <x:c r="I16" s="62" t="str">
        <x:v>Hard gate</x:v>
      </x:c>
      <x:c r="J16" s="62" t="str">
        <x:v>Route through supported incubation ecosystem.</x:v>
      </x:c>
      <x:c r="K16" s="70" t="str">
        <x:v>https://www.pib.gov.in/PressReleasePage.aspx?PRID=2209488&amp;lang=1&amp;reg=1</x:v>
      </x:c>
    </x:row>
    <x:row r="17" ht="52" customHeight="1">
      <x:c r="A17" s="69" t="str">
        <x:v>R-012</x:v>
      </x:c>
      <x:c r="B17" s="62" t="str">
        <x:v>SCST-09</x:v>
      </x:c>
      <x:c r="C17" s="62" t="str">
        <x:v>ASIIM</x:v>
      </x:c>
      <x:c r="D17" s="62" t="str">
        <x:v>VERIFY</x:v>
      </x:c>
      <x:c r="E17" s="62" t="str">
        <x:v>applicant_type</x:v>
      </x:c>
      <x:c r="F17" s="62" t="str">
        <x:v>IN</x:v>
      </x:c>
      <x:c r="G17" s="62" t="str">
        <x:v>Individual | Company | Startup</x:v>
      </x:c>
      <x:c r="H17" s="62" t="str">
        <x:v>Incubator and programme route</x:v>
      </x:c>
      <x:c r="I17" s="62" t="str">
        <x:v>Verification</x:v>
      </x:c>
      <x:c r="J17" s="62" t="str">
        <x:v>Confirm current cohort and incubator eligibility.</x:v>
      </x:c>
      <x:c r="K17" s="70" t="str">
        <x:v>https://www.ifciventure.com/venture-capital-fund-scheduled-castes-vcf-sc-and-venture-capital-fund-backward-classes-vcf-bc.aspx</x:v>
      </x:c>
    </x:row>
    <x:row r="18" ht="52" customHeight="1">
      <x:c r="A18" s="69" t="str">
        <x:v>R-013</x:v>
      </x:c>
      <x:c r="B18" s="62" t="str">
        <x:v>SCST-10</x:v>
      </x:c>
      <x:c r="C18" s="62" t="str">
        <x:v>CEGSSC</x:v>
      </x:c>
      <x:c r="D18" s="62" t="str">
        <x:v>HARD</x:v>
      </x:c>
      <x:c r="E18" s="62" t="str">
        <x:v>social_category</x:v>
      </x:c>
      <x:c r="F18" s="62" t="str">
        <x:v>=</x:v>
      </x:c>
      <x:c r="G18" s="62" t="str">
        <x:v>SC</x:v>
      </x:c>
      <x:c r="H18" s="62" t="str">
        <x:v>SC entrepreneur required</x:v>
      </x:c>
      <x:c r="I18" s="62" t="str">
        <x:v>Hard gate</x:v>
      </x:c>
      <x:c r="J18" s="62" t="str">
        <x:v>SC-only guarantee scheme.</x:v>
      </x:c>
      <x:c r="K18" s="70" t="str">
        <x:v>https://socialjustice.gov.in/schemes/32</x:v>
      </x:c>
    </x:row>
    <x:row r="19" ht="52" customHeight="1">
      <x:c r="A19" s="69" t="str">
        <x:v>R-014</x:v>
      </x:c>
      <x:c r="B19" s="62" t="str">
        <x:v>SCST-10</x:v>
      </x:c>
      <x:c r="C19" s="62" t="str">
        <x:v>CEGSSC</x:v>
      </x:c>
      <x:c r="D19" s="62" t="str">
        <x:v>VERIFY</x:v>
      </x:c>
      <x:c r="E19" s="62" t="str">
        <x:v>ownership_sc_st_pct</x:v>
      </x:c>
      <x:c r="F19" s="62" t="str">
        <x:v>&gt;</x:v>
      </x:c>
      <x:c r="G19" s="62" t="str">
        <x:v>75% historical guideline</x:v>
      </x:c>
      <x:c r="H19" s="62" t="str">
        <x:v>Promoter ownership/control</x:v>
      </x:c>
      <x:c r="I19" s="62" t="str">
        <x:v>Verification</x:v>
      </x:c>
      <x:c r="J19" s="62" t="str">
        <x:v>Historical revised guidelines specify more than 75%; verify current operation.</x:v>
      </x:c>
      <x:c r="K19" s="70" t="str">
        <x:v>https://socialjustice.gov.in/writereaddata/UploadFile/CreditEnhancementGuaranteeSchemeSCs.pdf</x:v>
      </x:c>
    </x:row>
    <x:row r="20" ht="52" customHeight="1">
      <x:c r="A20" s="69" t="str">
        <x:v>R-015</x:v>
      </x:c>
      <x:c r="B20" s="62" t="str">
        <x:v>SCST-11</x:v>
      </x:c>
      <x:c r="C20" s="62" t="str">
        <x:v>NSFDC-TL</x:v>
      </x:c>
      <x:c r="D20" s="62" t="str">
        <x:v>HARD</x:v>
      </x:c>
      <x:c r="E20" s="62" t="str">
        <x:v>social_category</x:v>
      </x:c>
      <x:c r="F20" s="62" t="str">
        <x:v>=</x:v>
      </x:c>
      <x:c r="G20" s="62" t="str">
        <x:v>SC</x:v>
      </x:c>
      <x:c r="H20" s="62" t="str">
        <x:v>SC community required</x:v>
      </x:c>
      <x:c r="I20" s="62" t="str">
        <x:v>Hard gate</x:v>
      </x:c>
      <x:c r="J20" s="62" t="str">
        <x:v>NSFDC currently serves SC beneficiaries.</x:v>
      </x:c>
      <x:c r="K20" s="70" t="str">
        <x:v>https://nsfdc.nic.in/faqs</x:v>
      </x:c>
    </x:row>
    <x:row r="21" ht="52" customHeight="1">
      <x:c r="A21" s="69" t="str">
        <x:v>R-016</x:v>
      </x:c>
      <x:c r="B21" s="62" t="str">
        <x:v>SCST-11</x:v>
      </x:c>
      <x:c r="C21" s="62" t="str">
        <x:v>NSFDC-TL</x:v>
      </x:c>
      <x:c r="D21" s="62" t="str">
        <x:v>HARD</x:v>
      </x:c>
      <x:c r="E21" s="62" t="str">
        <x:v>annual_family_income_inr</x:v>
      </x:c>
      <x:c r="F21" s="62" t="str">
        <x:v>&lt;=</x:v>
      </x:c>
      <x:c r="G21" s="62" t="str">
        <x:v>500000</x:v>
      </x:c>
      <x:c r="H21" s="62" t="str">
        <x:v>Annual family income ceiling for loans</x:v>
      </x:c>
      <x:c r="I21" s="62" t="str">
        <x:v>Hard gate</x:v>
      </x:c>
      <x:c r="J21" s="62" t="str">
        <x:v>Current NSFDC FAQ effective 07-Jan-2026.</x:v>
      </x:c>
      <x:c r="K21" s="70" t="str">
        <x:v>https://nsfdc.nic.in/faqs</x:v>
      </x:c>
    </x:row>
    <x:row r="22" ht="52" customHeight="1">
      <x:c r="A22" s="69" t="str">
        <x:v>R-017</x:v>
      </x:c>
      <x:c r="B22" s="62" t="str">
        <x:v>SCST-11</x:v>
      </x:c>
      <x:c r="C22" s="62" t="str">
        <x:v>NSFDC-TL</x:v>
      </x:c>
      <x:c r="D22" s="62" t="str">
        <x:v>HARD</x:v>
      </x:c>
      <x:c r="E22" s="62" t="str">
        <x:v>project_cost_inr</x:v>
      </x:c>
      <x:c r="F22" s="62" t="str">
        <x:v>BETWEEN</x:v>
      </x:c>
      <x:c r="G22" s="62" t="str">
        <x:v>140001 and 5000000</x:v>
      </x:c>
      <x:c r="H22" s="62" t="str">
        <x:v>Term-loan project band</x:v>
      </x:c>
      <x:c r="I22" s="62" t="str">
        <x:v>Hard gate</x:v>
      </x:c>
      <x:c r="J22" s="62" t="str">
        <x:v>Primary term-loan product described for larger projects.</x:v>
      </x:c>
      <x:c r="K22" s="70" t="str">
        <x:v>https://nsfdc.nic.in/faqs</x:v>
      </x:c>
    </x:row>
    <x:row r="23" ht="52" customHeight="1">
      <x:c r="A23" s="69" t="str">
        <x:v>R-018</x:v>
      </x:c>
      <x:c r="B23" s="62" t="str">
        <x:v>SCST-12</x:v>
      </x:c>
      <x:c r="C23" s="62" t="str">
        <x:v>NSFDC-MFS</x:v>
      </x:c>
      <x:c r="D23" s="62" t="str">
        <x:v>HARD</x:v>
      </x:c>
      <x:c r="E23" s="62" t="str">
        <x:v>social_category</x:v>
      </x:c>
      <x:c r="F23" s="62" t="str">
        <x:v>=</x:v>
      </x:c>
      <x:c r="G23" s="62" t="str">
        <x:v>SC</x:v>
      </x:c>
      <x:c r="H23" s="62" t="str">
        <x:v>SC community required</x:v>
      </x:c>
      <x:c r="I23" s="62" t="str">
        <x:v>Hard gate</x:v>
      </x:c>
      <x:c r="J23" s="62" t="str">
        <x:v>NSFDC micro finance product.</x:v>
      </x:c>
      <x:c r="K23" s="70" t="str">
        <x:v>https://nsfdc.nic.in/faqs</x:v>
      </x:c>
    </x:row>
    <x:row r="24" ht="52" customHeight="1">
      <x:c r="A24" s="69" t="str">
        <x:v>R-019</x:v>
      </x:c>
      <x:c r="B24" s="62" t="str">
        <x:v>SCST-12</x:v>
      </x:c>
      <x:c r="C24" s="62" t="str">
        <x:v>NSFDC-MFS</x:v>
      </x:c>
      <x:c r="D24" s="62" t="str">
        <x:v>HARD</x:v>
      </x:c>
      <x:c r="E24" s="62" t="str">
        <x:v>project_cost_inr</x:v>
      </x:c>
      <x:c r="F24" s="62" t="str">
        <x:v>&lt;=</x:v>
      </x:c>
      <x:c r="G24" s="62" t="str">
        <x:v>140000</x:v>
      </x:c>
      <x:c r="H24" s="62" t="str">
        <x:v>Micro-finance project ceiling</x:v>
      </x:c>
      <x:c r="I24" s="62" t="str">
        <x:v>Hard gate</x:v>
      </x:c>
      <x:c r="J24" s="62" t="str">
        <x:v>Current FAQ product description.</x:v>
      </x:c>
      <x:c r="K24" s="70" t="str">
        <x:v>https://nsfdc.nic.in/faqs</x:v>
      </x:c>
    </x:row>
    <x:row r="25" ht="52" customHeight="1">
      <x:c r="A25" s="69" t="str">
        <x:v>R-020</x:v>
      </x:c>
      <x:c r="B25" s="62" t="str">
        <x:v>SCST-13</x:v>
      </x:c>
      <x:c r="C25" s="62" t="str">
        <x:v>NSFDC-AMY</x:v>
      </x:c>
      <x:c r="D25" s="62" t="str">
        <x:v>HARD</x:v>
      </x:c>
      <x:c r="E25" s="62" t="str">
        <x:v>social_category</x:v>
      </x:c>
      <x:c r="F25" s="62" t="str">
        <x:v>=</x:v>
      </x:c>
      <x:c r="G25" s="62" t="str">
        <x:v>SC</x:v>
      </x:c>
      <x:c r="H25" s="62" t="str">
        <x:v>SC community required</x:v>
      </x:c>
      <x:c r="I25" s="62" t="str">
        <x:v>Hard gate</x:v>
      </x:c>
      <x:c r="J25" s="62" t="str">
        <x:v>Selected NBFC-MFI route.</x:v>
      </x:c>
      <x:c r="K25" s="70" t="str">
        <x:v>https://nsfdc.nic.in/faqs</x:v>
      </x:c>
    </x:row>
    <x:row r="26" ht="52" customHeight="1">
      <x:c r="A26" s="69" t="str">
        <x:v>R-021</x:v>
      </x:c>
      <x:c r="B26" s="62" t="str">
        <x:v>SCST-14</x:v>
      </x:c>
      <x:c r="C26" s="62" t="str">
        <x:v>NSFDC-UNY</x:v>
      </x:c>
      <x:c r="D26" s="62" t="str">
        <x:v>HARD</x:v>
      </x:c>
      <x:c r="E26" s="62" t="str">
        <x:v>social_category</x:v>
      </x:c>
      <x:c r="F26" s="62" t="str">
        <x:v>=</x:v>
      </x:c>
      <x:c r="G26" s="62" t="str">
        <x:v>SC</x:v>
      </x:c>
      <x:c r="H26" s="62" t="str">
        <x:v>SC community required</x:v>
      </x:c>
      <x:c r="I26" s="62" t="str">
        <x:v>Hard gate</x:v>
      </x:c>
      <x:c r="J26" s="62" t="str">
        <x:v>Cooperative / SFB route.</x:v>
      </x:c>
      <x:c r="K26" s="70" t="str">
        <x:v>https://nsfdc.nic.in/faqs</x:v>
      </x:c>
    </x:row>
    <x:row r="27" ht="52" customHeight="1">
      <x:c r="A27" s="69" t="str">
        <x:v>R-022</x:v>
      </x:c>
      <x:c r="B27" s="62" t="str">
        <x:v>SCST-17</x:v>
      </x:c>
      <x:c r="C27" s="62" t="str">
        <x:v>PM-DAKSH</x:v>
      </x:c>
      <x:c r="D27" s="62" t="str">
        <x:v>HARD</x:v>
      </x:c>
      <x:c r="E27" s="62" t="str">
        <x:v>social_category</x:v>
      </x:c>
      <x:c r="F27" s="62" t="str">
        <x:v>=</x:v>
      </x:c>
      <x:c r="G27" s="62" t="str">
        <x:v>SC</x:v>
      </x:c>
      <x:c r="H27" s="62" t="str">
        <x:v>SC target group</x:v>
      </x:c>
      <x:c r="I27" s="62" t="str">
        <x:v>Hard gate</x:v>
      </x:c>
      <x:c r="J27" s="62" t="str">
        <x:v>Other target groups have separate criteria.</x:v>
      </x:c>
      <x:c r="K27" s="70" t="str">
        <x:v>https://socialjustice.gov.in/schemes/100</x:v>
      </x:c>
    </x:row>
    <x:row r="28" ht="52" customHeight="1">
      <x:c r="A28" s="69" t="str">
        <x:v>R-023</x:v>
      </x:c>
      <x:c r="B28" s="62" t="str">
        <x:v>SCST-17</x:v>
      </x:c>
      <x:c r="C28" s="62" t="str">
        <x:v>PM-DAKSH</x:v>
      </x:c>
      <x:c r="D28" s="62" t="str">
        <x:v>HARD</x:v>
      </x:c>
      <x:c r="E28" s="62" t="str">
        <x:v>age</x:v>
      </x:c>
      <x:c r="F28" s="62" t="str">
        <x:v>BETWEEN</x:v>
      </x:c>
      <x:c r="G28" s="62" t="str">
        <x:v>18 and 45</x:v>
      </x:c>
      <x:c r="H28" s="62" t="str">
        <x:v>Age band</x:v>
      </x:c>
      <x:c r="I28" s="62" t="str">
        <x:v>Hard gate</x:v>
      </x:c>
      <x:c r="J28" s="62" t="str">
        <x:v>Current official page states 18–45 years.</x:v>
      </x:c>
      <x:c r="K28" s="70" t="str">
        <x:v>https://socialjustice.gov.in/schemes/100</x:v>
      </x:c>
    </x:row>
    <x:row r="29" ht="52" customHeight="1">
      <x:c r="A29" s="69" t="str">
        <x:v>R-024</x:v>
      </x:c>
      <x:c r="B29" s="62" t="str">
        <x:v>SCST-18</x:v>
      </x:c>
      <x:c r="C29" s="62" t="str">
        <x:v>PM-AJAY</x:v>
      </x:c>
      <x:c r="D29" s="62" t="str">
        <x:v>HARD</x:v>
      </x:c>
      <x:c r="E29" s="62" t="str">
        <x:v>social_category</x:v>
      </x:c>
      <x:c r="F29" s="62" t="str">
        <x:v>=</x:v>
      </x:c>
      <x:c r="G29" s="62" t="str">
        <x:v>SC</x:v>
      </x:c>
      <x:c r="H29" s="62" t="str">
        <x:v>SC target population</x:v>
      </x:c>
      <x:c r="I29" s="62" t="str">
        <x:v>Hard gate</x:v>
      </x:c>
      <x:c r="J29" s="62" t="str">
        <x:v>Implementing project and poverty/local selection still apply.</x:v>
      </x:c>
      <x:c r="K29" s="70" t="str">
        <x:v>https://pmajay.dosje.gov.in/content/about-scheme</x:v>
      </x:c>
    </x:row>
    <x:row r="30" ht="52" customHeight="1">
      <x:c r="A30" s="69" t="str">
        <x:v>R-025</x:v>
      </x:c>
      <x:c r="B30" s="62" t="str">
        <x:v>SCST-18</x:v>
      </x:c>
      <x:c r="C30" s="62" t="str">
        <x:v>PM-AJAY</x:v>
      </x:c>
      <x:c r="D30" s="62" t="str">
        <x:v>VERIFY</x:v>
      </x:c>
      <x:c r="E30" s="62" t="str">
        <x:v>state</x:v>
      </x:c>
      <x:c r="F30" s="62" t="str">
        <x:v>IS NOT BLANK</x:v>
      </x:c>
      <x:c r="G30" s="62" t="str">
        <x:v>State action plan</x:v>
      </x:c>
      <x:c r="H30" s="62" t="str">
        <x:v>State/district project coverage</x:v>
      </x:c>
      <x:c r="I30" s="62" t="str">
        <x:v>Verification</x:v>
      </x:c>
      <x:c r="J30" s="62" t="str">
        <x:v>Not an ordinary direct national application.</x:v>
      </x:c>
      <x:c r="K30" s="70" t="str">
        <x:v>https://pmajay.dosje.gov.in/content/about-scheme</x:v>
      </x:c>
    </x:row>
    <x:row r="31" ht="52" customHeight="1">
      <x:c r="A31" s="69" t="str">
        <x:v>R-026</x:v>
      </x:c>
      <x:c r="B31" s="62" t="str">
        <x:v>SCST-19</x:v>
      </x:c>
      <x:c r="C31" s="62" t="str">
        <x:v>NAMASTE</x:v>
      </x:c>
      <x:c r="D31" s="62" t="str">
        <x:v>HARD</x:v>
      </x:c>
      <x:c r="E31" s="62" t="str">
        <x:v>sanitation_worker_profiled</x:v>
      </x:c>
      <x:c r="F31" s="62" t="str">
        <x:v>=</x:v>
      </x:c>
      <x:c r="G31" s="62" t="str">
        <x:v>TRUE</x:v>
      </x:c>
      <x:c r="H31" s="62" t="str">
        <x:v>Identified/profiled sanitation worker or waste picker</x:v>
      </x:c>
      <x:c r="I31" s="62" t="str">
        <x:v>Hard gate</x:v>
      </x:c>
      <x:c r="J31" s="62" t="str">
        <x:v>Specialised target group.</x:v>
      </x:c>
      <x:c r="K31" s="70" t="str">
        <x:v>https://socialjustice.gov.in/schemes/37/archive</x:v>
      </x:c>
    </x:row>
    <x:row r="32" ht="52" customHeight="1">
      <x:c r="A32" s="69" t="str">
        <x:v>R-027</x:v>
      </x:c>
      <x:c r="B32" s="62" t="str">
        <x:v>SCST-20</x:v>
      </x:c>
      <x:c r="C32" s="62" t="str">
        <x:v>NSTFDC-TL</x:v>
      </x:c>
      <x:c r="D32" s="62" t="str">
        <x:v>HARD</x:v>
      </x:c>
      <x:c r="E32" s="62" t="str">
        <x:v>social_category</x:v>
      </x:c>
      <x:c r="F32" s="62" t="str">
        <x:v>=</x:v>
      </x:c>
      <x:c r="G32" s="62" t="str">
        <x:v>ST</x:v>
      </x:c>
      <x:c r="H32" s="62" t="str">
        <x:v>ST community required</x:v>
      </x:c>
      <x:c r="I32" s="62" t="str">
        <x:v>Hard gate</x:v>
      </x:c>
      <x:c r="J32" s="62" t="str">
        <x:v>NSTFDC target group.</x:v>
      </x:c>
      <x:c r="K32" s="70" t="str">
        <x:v>https://nstfdc.tribal.gov.in/</x:v>
      </x:c>
    </x:row>
    <x:row r="33" ht="52" customHeight="1">
      <x:c r="A33" s="69" t="str">
        <x:v>R-028</x:v>
      </x:c>
      <x:c r="B33" s="62" t="str">
        <x:v>SCST-20</x:v>
      </x:c>
      <x:c r="C33" s="62" t="str">
        <x:v>NSTFDC-TL</x:v>
      </x:c>
      <x:c r="D33" s="62" t="str">
        <x:v>VERIFY</x:v>
      </x:c>
      <x:c r="E33" s="62" t="str">
        <x:v>state</x:v>
      </x:c>
      <x:c r="F33" s="62" t="str">
        <x:v>IS NOT BLANK</x:v>
      </x:c>
      <x:c r="G33" s="62" t="str">
        <x:v>State/UT notified tribe</x:v>
      </x:c>
      <x:c r="H33" s="62" t="str">
        <x:v>Residence and notified tribe check</x:v>
      </x:c>
      <x:c r="I33" s="62" t="str">
        <x:v>Verification</x:v>
      </x:c>
      <x:c r="J33" s="62" t="str">
        <x:v>Financial assistance only for eligible persons residing where the tribe is notified.</x:v>
      </x:c>
      <x:c r="K33" s="70" t="str">
        <x:v>https://nstfdc.tribal.gov.in/(S(vynolazsyi2usrif0041a1u0))/frm_eligibility.aspx</x:v>
      </x:c>
    </x:row>
    <x:row r="34" ht="52" customHeight="1">
      <x:c r="A34" s="69" t="str">
        <x:v>R-029</x:v>
      </x:c>
      <x:c r="B34" s="62" t="str">
        <x:v>SCST-21</x:v>
      </x:c>
      <x:c r="C34" s="62" t="str">
        <x:v>NSTFDC-AMSY</x:v>
      </x:c>
      <x:c r="D34" s="62" t="str">
        <x:v>HARD</x:v>
      </x:c>
      <x:c r="E34" s="62" t="str">
        <x:v>social_category</x:v>
      </x:c>
      <x:c r="F34" s="62" t="str">
        <x:v>=</x:v>
      </x:c>
      <x:c r="G34" s="62" t="str">
        <x:v>ST</x:v>
      </x:c>
      <x:c r="H34" s="62" t="str">
        <x:v>ST community required</x:v>
      </x:c>
      <x:c r="I34" s="62" t="str">
        <x:v>Hard gate</x:v>
      </x:c>
      <x:c r="J34" s="62" t="str">
        <x:v>AMSY is exclusive for ST women.</x:v>
      </x:c>
      <x:c r="K34" s="70" t="str">
        <x:v>https://nstfdc.tribal.gov.in/(S(wdobvikapdpuryzvigs1rpn5))/PublicView_Hindi/frm_amsy.aspx</x:v>
      </x:c>
    </x:row>
    <x:row r="35" ht="52" customHeight="1">
      <x:c r="A35" s="69" t="str">
        <x:v>R-030</x:v>
      </x:c>
      <x:c r="B35" s="62" t="str">
        <x:v>SCST-21</x:v>
      </x:c>
      <x:c r="C35" s="62" t="str">
        <x:v>NSTFDC-AMSY</x:v>
      </x:c>
      <x:c r="D35" s="62" t="str">
        <x:v>HARD</x:v>
      </x:c>
      <x:c r="E35" s="62" t="str">
        <x:v>gender</x:v>
      </x:c>
      <x:c r="F35" s="62" t="str">
        <x:v>=</x:v>
      </x:c>
      <x:c r="G35" s="62" t="str">
        <x:v>Woman</x:v>
      </x:c>
      <x:c r="H35" s="62" t="str">
        <x:v>ST woman target group</x:v>
      </x:c>
      <x:c r="I35" s="62" t="str">
        <x:v>Hard gate</x:v>
      </x:c>
      <x:c r="J35" s="62" t="str">
        <x:v>Scheme-specific gender rule.</x:v>
      </x:c>
      <x:c r="K35" s="70" t="str">
        <x:v>https://nstfdc.tribal.gov.in/(S(wdobvikapdpuryzvigs1rpn5))/PublicView_Hindi/frm_amsy.aspx</x:v>
      </x:c>
    </x:row>
    <x:row r="36" ht="52" customHeight="1">
      <x:c r="A36" s="69" t="str">
        <x:v>R-031</x:v>
      </x:c>
      <x:c r="B36" s="62" t="str">
        <x:v>SCST-22</x:v>
      </x:c>
      <x:c r="C36" s="62" t="str">
        <x:v>NSTFDC-MCS</x:v>
      </x:c>
      <x:c r="D36" s="62" t="str">
        <x:v>HARD</x:v>
      </x:c>
      <x:c r="E36" s="62" t="str">
        <x:v>social_category</x:v>
      </x:c>
      <x:c r="F36" s="62" t="str">
        <x:v>=</x:v>
      </x:c>
      <x:c r="G36" s="62" t="str">
        <x:v>ST</x:v>
      </x:c>
      <x:c r="H36" s="62" t="str">
        <x:v>ST SHG members</x:v>
      </x:c>
      <x:c r="I36" s="62" t="str">
        <x:v>Hard gate</x:v>
      </x:c>
      <x:c r="J36" s="62" t="str">
        <x:v>Group-level rule; all members need verification.</x:v>
      </x:c>
      <x:c r="K36" s="70" t="str">
        <x:v>https://nstfdc.tribal.gov.in/(S(xdrrv2dggok25j0gjxerotfo))/PublicView_Hindi/frm_mcs.aspx</x:v>
      </x:c>
    </x:row>
    <x:row r="37" ht="52" customHeight="1">
      <x:c r="A37" s="69" t="str">
        <x:v>R-032</x:v>
      </x:c>
      <x:c r="B37" s="62" t="str">
        <x:v>SCST-22</x:v>
      </x:c>
      <x:c r="C37" s="62" t="str">
        <x:v>NSTFDC-MCS</x:v>
      </x:c>
      <x:c r="D37" s="62" t="str">
        <x:v>HARD</x:v>
      </x:c>
      <x:c r="E37" s="62" t="str">
        <x:v>shg_membership</x:v>
      </x:c>
      <x:c r="F37" s="62" t="str">
        <x:v>=</x:v>
      </x:c>
      <x:c r="G37" s="62" t="str">
        <x:v>TRUE</x:v>
      </x:c>
      <x:c r="H37" s="62" t="str">
        <x:v>Eligible SHG required</x:v>
      </x:c>
      <x:c r="I37" s="62" t="str">
        <x:v>Hard gate</x:v>
      </x:c>
      <x:c r="J37" s="62" t="str">
        <x:v>Do not model as an individual loan.</x:v>
      </x:c>
      <x:c r="K37" s="70" t="str">
        <x:v>https://nstfdc.tribal.gov.in/(S(xdrrv2dggok25j0gjxerotfo))/PublicView_Hindi/frm_mcs.aspx</x:v>
      </x:c>
    </x:row>
    <x:row r="38" ht="52" customHeight="1">
      <x:c r="A38" s="69" t="str">
        <x:v>R-033</x:v>
      </x:c>
      <x:c r="B38" s="62" t="str">
        <x:v>SCST-24</x:v>
      </x:c>
      <x:c r="C38" s="62" t="str">
        <x:v>VCF-ST</x:v>
      </x:c>
      <x:c r="D38" s="62" t="str">
        <x:v>HARD</x:v>
      </x:c>
      <x:c r="E38" s="62" t="str">
        <x:v>social_category</x:v>
      </x:c>
      <x:c r="F38" s="62" t="str">
        <x:v>=</x:v>
      </x:c>
      <x:c r="G38" s="62" t="str">
        <x:v>ST</x:v>
      </x:c>
      <x:c r="H38" s="62" t="str">
        <x:v>ST promoter required</x:v>
      </x:c>
      <x:c r="I38" s="62" t="str">
        <x:v>Hard gate</x:v>
      </x:c>
      <x:c r="J38" s="62" t="str">
        <x:v>ST target group.</x:v>
      </x:c>
      <x:c r="K38" s="70" t="str">
        <x:v>https://www.vcfst.in/</x:v>
      </x:c>
    </x:row>
    <x:row r="39" ht="52" customHeight="1">
      <x:c r="A39" s="69" t="str">
        <x:v>R-034</x:v>
      </x:c>
      <x:c r="B39" s="62" t="str">
        <x:v>SCST-25</x:v>
      </x:c>
      <x:c r="C39" s="62" t="str">
        <x:v>PMJVM-VD</x:v>
      </x:c>
      <x:c r="D39" s="62" t="str">
        <x:v>HARD</x:v>
      </x:c>
      <x:c r="E39" s="62" t="str">
        <x:v>social_category</x:v>
      </x:c>
      <x:c r="F39" s="62" t="str">
        <x:v>=</x:v>
      </x:c>
      <x:c r="G39" s="62" t="str">
        <x:v>ST</x:v>
      </x:c>
      <x:c r="H39" s="62" t="str">
        <x:v>Tribal target group</x:v>
      </x:c>
      <x:c r="I39" s="62" t="str">
        <x:v>Hard gate</x:v>
      </x:c>
      <x:c r="J39" s="62" t="str">
        <x:v>Group/value-chain pathway.</x:v>
      </x:c>
      <x:c r="K39" s="70" t="str">
        <x:v>https://tribal.nic.in/Livelihood.aspx</x:v>
      </x:c>
    </x:row>
    <x:row r="40" ht="52" customHeight="1">
      <x:c r="A40" s="69" t="str">
        <x:v>R-035</x:v>
      </x:c>
      <x:c r="B40" s="62" t="str">
        <x:v>SCST-25</x:v>
      </x:c>
      <x:c r="C40" s="62" t="str">
        <x:v>PMJVM-VD</x:v>
      </x:c>
      <x:c r="D40" s="62" t="str">
        <x:v>HARD</x:v>
      </x:c>
      <x:c r="E40" s="62" t="str">
        <x:v>shg_membership</x:v>
      </x:c>
      <x:c r="F40" s="62" t="str">
        <x:v>=</x:v>
      </x:c>
      <x:c r="G40" s="62" t="str">
        <x:v>TRUE</x:v>
      </x:c>
      <x:c r="H40" s="62" t="str">
        <x:v>Tribal SHG/producer group route</x:v>
      </x:c>
      <x:c r="I40" s="62" t="str">
        <x:v>Hard gate</x:v>
      </x:c>
      <x:c r="J40" s="62" t="str">
        <x:v>Use group-level component rules.</x:v>
      </x:c>
      <x:c r="K40" s="70" t="str">
        <x:v>https://trifed.tribal.gov.in/index.php/en/pmvdy</x:v>
      </x:c>
    </x:row>
    <x:row r="41" ht="52" customHeight="1">
      <x:c r="A41" s="69" t="str">
        <x:v>R-036</x:v>
      </x:c>
      <x:c r="B41" s="62" t="str">
        <x:v>SCST-26</x:v>
      </x:c>
      <x:c r="C41" s="62" t="str">
        <x:v>PMEGP</x:v>
      </x:c>
      <x:c r="D41" s="62" t="str">
        <x:v>HARD</x:v>
      </x:c>
      <x:c r="E41" s="62" t="str">
        <x:v>age</x:v>
      </x:c>
      <x:c r="F41" s="62" t="str">
        <x:v>&gt;=</x:v>
      </x:c>
      <x:c r="G41" s="62" t="str">
        <x:v>18</x:v>
      </x:c>
      <x:c r="H41" s="62" t="str">
        <x:v>Applicant above 18</x:v>
      </x:c>
      <x:c r="I41" s="62" t="str">
        <x:v>Hard gate</x:v>
      </x:c>
      <x:c r="J41" s="62" t="str">
        <x:v>New enterprise pathway.</x:v>
      </x:c>
      <x:c r="K41" s="70" t="str">
        <x:v>https://pmegp.msme.gov.in/Home/Index</x:v>
      </x:c>
    </x:row>
    <x:row r="42" ht="52" customHeight="1">
      <x:c r="A42" s="69" t="str">
        <x:v>R-037</x:v>
      </x:c>
      <x:c r="B42" s="62" t="str">
        <x:v>SCST-26</x:v>
      </x:c>
      <x:c r="C42" s="62" t="str">
        <x:v>PMEGP</x:v>
      </x:c>
      <x:c r="D42" s="62" t="str">
        <x:v>HARD</x:v>
      </x:c>
      <x:c r="E42" s="62" t="str">
        <x:v>business_stage</x:v>
      </x:c>
      <x:c r="F42" s="62" t="str">
        <x:v>=</x:v>
      </x:c>
      <x:c r="G42" s="62" t="str">
        <x:v>New</x:v>
      </x:c>
      <x:c r="H42" s="62" t="str">
        <x:v>New project required</x:v>
      </x:c>
      <x:c r="I42" s="62" t="str">
        <x:v>Hard gate</x:v>
      </x:c>
      <x:c r="J42" s="62" t="str">
        <x:v>Existing unit requires separate eligible upgrade pathway where available.</x:v>
      </x:c>
      <x:c r="K42" s="70" t="str">
        <x:v>https://pmegp.msme.gov.in/Home/Index</x:v>
      </x:c>
    </x:row>
    <x:row r="43" ht="52" customHeight="1">
      <x:c r="A43" s="69" t="str">
        <x:v>R-038</x:v>
      </x:c>
      <x:c r="B43" s="62" t="str">
        <x:v>SCST-26</x:v>
      </x:c>
      <x:c r="C43" s="62" t="str">
        <x:v>PMEGP</x:v>
      </x:c>
      <x:c r="D43" s="62" t="str">
        <x:v>HARD</x:v>
      </x:c>
      <x:c r="E43" s="62" t="str">
        <x:v>has_capital_expenditure</x:v>
      </x:c>
      <x:c r="F43" s="62" t="str">
        <x:v>=</x:v>
      </x:c>
      <x:c r="G43" s="62" t="str">
        <x:v>TRUE</x:v>
      </x:c>
      <x:c r="H43" s="62" t="str">
        <x:v>Capital expenditure required</x:v>
      </x:c>
      <x:c r="I43" s="62" t="str">
        <x:v>Hard gate</x:v>
      </x:c>
      <x:c r="J43" s="62" t="str">
        <x:v>Projects without capital expenditure are not eligible.</x:v>
      </x:c>
      <x:c r="K43" s="70" t="str">
        <x:v>https://pmegp.msme.gov.in/Home/Index</x:v>
      </x:c>
    </x:row>
    <x:row r="44" ht="52" customHeight="1">
      <x:c r="A44" s="69" t="str">
        <x:v>R-039</x:v>
      </x:c>
      <x:c r="B44" s="62" t="str">
        <x:v>SCST-26</x:v>
      </x:c>
      <x:c r="C44" s="62" t="str">
        <x:v>PMEGP</x:v>
      </x:c>
      <x:c r="D44" s="62" t="str">
        <x:v>CONDITIONAL</x:v>
      </x:c>
      <x:c r="E44" s="62" t="str">
        <x:v>education_level</x:v>
      </x:c>
      <x:c r="F44" s="62" t="str">
        <x:v>&gt;=</x:v>
      </x:c>
      <x:c r="G44" s="62" t="str">
        <x:v>8 if manufacturing &gt; ₹10L or service/business &gt; ₹5L</x:v>
      </x:c>
      <x:c r="H44" s="62" t="str">
        <x:v>Class VIII requirement triggered by project threshold</x:v>
      </x:c>
      <x:c r="I44" s="62" t="str">
        <x:v>Conditional</x:v>
      </x:c>
      <x:c r="J44" s="62" t="str">
        <x:v>Apply only when threshold is triggered.</x:v>
      </x:c>
      <x:c r="K44" s="70" t="str">
        <x:v>https://pmegp.msme.gov.in/Home/Index</x:v>
      </x:c>
    </x:row>
    <x:row r="45" ht="52" customHeight="1">
      <x:c r="A45" s="69" t="str">
        <x:v>R-040</x:v>
      </x:c>
      <x:c r="B45" s="62" t="str">
        <x:v>SCST-26</x:v>
      </x:c>
      <x:c r="C45" s="62" t="str">
        <x:v>PMEGP</x:v>
      </x:c>
      <x:c r="D45" s="62" t="str">
        <x:v>SOFT</x:v>
      </x:c>
      <x:c r="E45" s="62" t="str">
        <x:v>social_category</x:v>
      </x:c>
      <x:c r="F45" s="62" t="str">
        <x:v>IN</x:v>
      </x:c>
      <x:c r="G45" s="62" t="str">
        <x:v>SC | ST</x:v>
      </x:c>
      <x:c r="H45" s="62" t="str">
        <x:v>Special-category subsidy and contribution</x:v>
      </x:c>
      <x:c r="I45" s="62" t="str">
        <x:v>Benefit / ranking</x:v>
      </x:c>
      <x:c r="J45" s="62" t="str">
        <x:v>SC/ST affects subsidy/contribution, not basic eligibility.</x:v>
      </x:c>
      <x:c r="K45" s="70" t="str">
        <x:v>https://www.msme.gov.in/sites/default/files/Revisedguidelines07.12.2023.pdf</x:v>
      </x:c>
    </x:row>
    <x:row r="46" ht="52" customHeight="1">
      <x:c r="A46" s="69" t="str">
        <x:v>R-041</x:v>
      </x:c>
      <x:c r="B46" s="62" t="str">
        <x:v>SCST-27</x:v>
      </x:c>
      <x:c r="C46" s="62" t="str">
        <x:v>CGTMSE</x:v>
      </x:c>
      <x:c r="D46" s="62" t="str">
        <x:v>HARD</x:v>
      </x:c>
      <x:c r="E46" s="62" t="str">
        <x:v>has_udyam_registration</x:v>
      </x:c>
      <x:c r="F46" s="62" t="str">
        <x:v>=</x:v>
      </x:c>
      <x:c r="G46" s="62" t="str">
        <x:v>TRUE</x:v>
      </x:c>
      <x:c r="H46" s="62" t="str">
        <x:v>Udyam / MSE status</x:v>
      </x:c>
      <x:c r="I46" s="62" t="str">
        <x:v>Hard gate</x:v>
      </x:c>
      <x:c r="J46" s="62" t="str">
        <x:v>Current CGTMSE guidance requires eligible MSE status and lender process.</x:v>
      </x:c>
      <x:c r="K46" s="70" t="str">
        <x:v>https://www.cgtmse.in/Home/VS/3</x:v>
      </x:c>
    </x:row>
    <x:row r="47" ht="52" customHeight="1">
      <x:c r="A47" s="69" t="str">
        <x:v>R-042</x:v>
      </x:c>
      <x:c r="B47" s="62" t="str">
        <x:v>SCST-27</x:v>
      </x:c>
      <x:c r="C47" s="62" t="str">
        <x:v>CGTMSE</x:v>
      </x:c>
      <x:c r="D47" s="62" t="str">
        <x:v>SOFT</x:v>
      </x:c>
      <x:c r="E47" s="62" t="str">
        <x:v>social_category</x:v>
      </x:c>
      <x:c r="F47" s="62" t="str">
        <x:v>IN</x:v>
      </x:c>
      <x:c r="G47" s="62" t="str">
        <x:v>SC | ST</x:v>
      </x:c>
      <x:c r="H47" s="62" t="str">
        <x:v>Special coverage up to 85% for up to ₹5 lakh facilities</x:v>
      </x:c>
      <x:c r="I47" s="62" t="str">
        <x:v>Benefit / ranking</x:v>
      </x:c>
      <x:c r="J47" s="62" t="str">
        <x:v>Coverage table is scheme/lender dependent.</x:v>
      </x:c>
      <x:c r="K47" s="70" t="str">
        <x:v>https://www.cgtmse.in/Home/VS/3</x:v>
      </x:c>
    </x:row>
    <x:row r="48" ht="52" customHeight="1">
      <x:c r="A48" s="69" t="str">
        <x:v>R-043</x:v>
      </x:c>
      <x:c r="B48" s="62" t="str">
        <x:v>SCST-29</x:v>
      </x:c>
      <x:c r="C48" s="62" t="str">
        <x:v>PMMY</x:v>
      </x:c>
      <x:c r="D48" s="62" t="str">
        <x:v>HARD</x:v>
      </x:c>
      <x:c r="E48" s="62" t="str">
        <x:v>requested_loan_amount_inr</x:v>
      </x:c>
      <x:c r="F48" s="62" t="str">
        <x:v>BETWEEN</x:v>
      </x:c>
      <x:c r="G48" s="62" t="str">
        <x:v>0 and 2000000</x:v>
      </x:c>
      <x:c r="H48" s="62" t="str">
        <x:v>PMMY loan band</x:v>
      </x:c>
      <x:c r="I48" s="62" t="str">
        <x:v>Hard gate</x:v>
      </x:c>
      <x:c r="J48" s="62" t="str">
        <x:v>Tarun Plus extends upper band only with prior Tarun repayment.</x:v>
      </x:c>
      <x:c r="K48" s="70" t="str">
        <x:v>https://financialservices.gov.in/pradhan-mantri-mudra-yojana-pmmy</x:v>
      </x:c>
    </x:row>
    <x:row r="49" ht="52" customHeight="1">
      <x:c r="A49" s="69" t="str">
        <x:v>R-044</x:v>
      </x:c>
      <x:c r="B49" s="62" t="str">
        <x:v>SCST-29</x:v>
      </x:c>
      <x:c r="C49" s="62" t="str">
        <x:v>PMMY</x:v>
      </x:c>
      <x:c r="D49" s="62" t="str">
        <x:v>CONDITIONAL</x:v>
      </x:c>
      <x:c r="E49" s="62" t="str">
        <x:v>previous_loan_repaid_successfully</x:v>
      </x:c>
      <x:c r="F49" s="62" t="str">
        <x:v>=</x:v>
      </x:c>
      <x:c r="G49" s="62" t="str">
        <x:v>TRUE if loan &gt; ₹10L</x:v>
      </x:c>
      <x:c r="H49" s="62" t="str">
        <x:v>Tarun Plus previous Tarun repayment</x:v>
      </x:c>
      <x:c r="I49" s="62" t="str">
        <x:v>Conditional</x:v>
      </x:c>
      <x:c r="J49" s="62" t="str">
        <x:v>Do not apply to Shishu, Kishore or Tarun.</x:v>
      </x:c>
      <x:c r="K49" s="70" t="str">
        <x:v>https://financialservices.gov.in/pradhan-mantri-mudra-yojana-pmmy</x:v>
      </x:c>
    </x:row>
    <x:row r="50" ht="52" customHeight="1">
      <x:c r="A50" s="69" t="str">
        <x:v>R-045</x:v>
      </x:c>
      <x:c r="B50" s="62" t="str">
        <x:v>SCST-30</x:v>
      </x:c>
      <x:c r="C50" s="62" t="str">
        <x:v>PMFME</x:v>
      </x:c>
      <x:c r="D50" s="62" t="str">
        <x:v>HARD</x:v>
      </x:c>
      <x:c r="E50" s="62" t="str">
        <x:v>project_sector</x:v>
      </x:c>
      <x:c r="F50" s="62" t="str">
        <x:v>=</x:v>
      </x:c>
      <x:c r="G50" s="62" t="str">
        <x:v>Food</x:v>
      </x:c>
      <x:c r="H50" s="62" t="str">
        <x:v>Food-processing pathway</x:v>
      </x:c>
      <x:c r="I50" s="62" t="str">
        <x:v>Hard gate</x:v>
      </x:c>
      <x:c r="J50" s="62" t="str">
        <x:v>Route component before applying rules.</x:v>
      </x:c>
      <x:c r="K50" s="70" t="str">
        <x:v>https://pmfme.mofpi.gov.in/pmfme/assets/PDF/Scheme%20Guidelines/SchemeGuidelines-English.pdf</x:v>
      </x:c>
    </x:row>
    <x:row r="51" ht="52" customHeight="1">
      <x:c r="A51" s="69" t="str">
        <x:v>R-046</x:v>
      </x:c>
      <x:c r="B51" s="62" t="str">
        <x:v>SCST-30</x:v>
      </x:c>
      <x:c r="C51" s="62" t="str">
        <x:v>PMFME</x:v>
      </x:c>
      <x:c r="D51" s="62" t="str">
        <x:v>HARD</x:v>
      </x:c>
      <x:c r="E51" s="62" t="str">
        <x:v>applicant_type</x:v>
      </x:c>
      <x:c r="F51" s="62" t="str">
        <x:v>=</x:v>
      </x:c>
      <x:c r="G51" s="62" t="str">
        <x:v>Individual for individual-unit path</x:v>
      </x:c>
      <x:c r="H51" s="62" t="str">
        <x:v>Component-specific applicant type</x:v>
      </x:c>
      <x:c r="I51" s="62" t="str">
        <x:v>Hard gate</x:v>
      </x:c>
      <x:c r="J51" s="62" t="str">
        <x:v>Groups need group component rules.</x:v>
      </x:c>
      <x:c r="K51" s="70" t="str">
        <x:v>https://pmfme.mofpi.gov.in/pmfme/assets/PDF/Scheme%20Guidelines/SchemeGuidelines-English.pdf</x:v>
      </x:c>
    </x:row>
    <x:row r="52" ht="52" customHeight="1">
      <x:c r="A52" s="69" t="str">
        <x:v>R-047</x:v>
      </x:c>
      <x:c r="B52" s="62" t="str">
        <x:v>SCST-30</x:v>
      </x:c>
      <x:c r="C52" s="62" t="str">
        <x:v>PMFME</x:v>
      </x:c>
      <x:c r="D52" s="62" t="str">
        <x:v>HARD</x:v>
      </x:c>
      <x:c r="E52" s="62" t="str">
        <x:v>beneficiary_contribution_pct</x:v>
      </x:c>
      <x:c r="F52" s="62" t="str">
        <x:v>&gt;=</x:v>
      </x:c>
      <x:c r="G52" s="62" t="str">
        <x:v>10%</x:v>
      </x:c>
      <x:c r="H52" s="62" t="str">
        <x:v>Minimum contribution</x:v>
      </x:c>
      <x:c r="I52" s="62" t="str">
        <x:v>Hard gate</x:v>
      </x:c>
      <x:c r="J52" s="62" t="str">
        <x:v>Use eligible project cost and component rules.</x:v>
      </x:c>
      <x:c r="K52" s="70" t="str">
        <x:v>https://pmfme.mofpi.gov.in/pmfme/assets/PDF/Scheme%20Guidelines/SchemeGuidelines-English.pdf</x:v>
      </x:c>
    </x:row>
    <x:row r="53" ht="52" customHeight="1">
      <x:c r="A53" s="69" t="str">
        <x:v>R-048</x:v>
      </x:c>
      <x:c r="B53" s="62" t="str">
        <x:v>SCST-30</x:v>
      </x:c>
      <x:c r="C53" s="62" t="str">
        <x:v>PMFME</x:v>
      </x:c>
      <x:c r="D53" s="62" t="str">
        <x:v>SOFT</x:v>
      </x:c>
      <x:c r="E53" s="62" t="str">
        <x:v>odop_match</x:v>
      </x:c>
      <x:c r="F53" s="62" t="str">
        <x:v>=</x:v>
      </x:c>
      <x:c r="G53" s="62" t="str">
        <x:v>TRUE</x:v>
      </x:c>
      <x:c r="H53" s="62" t="str">
        <x:v>ODOP preference</x:v>
      </x:c>
      <x:c r="I53" s="62" t="str">
        <x:v>Ranking / priority</x:v>
      </x:c>
      <x:c r="J53" s="62" t="str">
        <x:v>Do not reject solely for no ODOP match unless component requires it.</x:v>
      </x:c>
      <x:c r="K53" s="70" t="str">
        <x:v>https://pmfme.mofpi.gov.in/</x:v>
      </x:c>
    </x:row>
    <x:row r="54" ht="52" customHeight="1">
      <x:c r="A54" s="69" t="str">
        <x:v>R-049</x:v>
      </x:c>
      <x:c r="B54" s="62" t="str">
        <x:v>SCST-31</x:v>
      </x:c>
      <x:c r="C54" s="62" t="str">
        <x:v>PMV</x:v>
      </x:c>
      <x:c r="D54" s="62" t="str">
        <x:v>HARD</x:v>
      </x:c>
      <x:c r="E54" s="62" t="str">
        <x:v>age</x:v>
      </x:c>
      <x:c r="F54" s="62" t="str">
        <x:v>&gt;=</x:v>
      </x:c>
      <x:c r="G54" s="62" t="str">
        <x:v>18</x:v>
      </x:c>
      <x:c r="H54" s="62" t="str">
        <x:v>Adult applicant</x:v>
      </x:c>
      <x:c r="I54" s="62" t="str">
        <x:v>Hard gate</x:v>
      </x:c>
      <x:c r="J54" s="62" t="str">
        <x:v>PM Vishwakarma age requirement.</x:v>
      </x:c>
      <x:c r="K54" s="70" t="str">
        <x:v>https://msme.gov.in/sites/default/files/July-SeptemberInsider2023v2.0.pdf</x:v>
      </x:c>
    </x:row>
    <x:row r="55" ht="52" customHeight="1">
      <x:c r="A55" s="69" t="str">
        <x:v>R-050</x:v>
      </x:c>
      <x:c r="B55" s="62" t="str">
        <x:v>SCST-31</x:v>
      </x:c>
      <x:c r="C55" s="62" t="str">
        <x:v>PMV</x:v>
      </x:c>
      <x:c r="D55" s="62" t="str">
        <x:v>HARD</x:v>
      </x:c>
      <x:c r="E55" s="62" t="str">
        <x:v>is_artisan_or_craftsperson</x:v>
      </x:c>
      <x:c r="F55" s="62" t="str">
        <x:v>=</x:v>
      </x:c>
      <x:c r="G55" s="62" t="str">
        <x:v>TRUE</x:v>
      </x:c>
      <x:c r="H55" s="62" t="str">
        <x:v>Artisan/craftsperson required</x:v>
      </x:c>
      <x:c r="I55" s="62" t="str">
        <x:v>Hard gate</x:v>
      </x:c>
      <x:c r="J55" s="62" t="str">
        <x:v>Pair with structured trade.</x:v>
      </x:c>
      <x:c r="K55" s="70" t="str">
        <x:v>https://msme.gov.in/sites/default/files/July-SeptemberInsider2023v2.0.pdf</x:v>
      </x:c>
    </x:row>
    <x:row r="56" ht="52" customHeight="1">
      <x:c r="A56" s="69" t="str">
        <x:v>R-051</x:v>
      </x:c>
      <x:c r="B56" s="62" t="str">
        <x:v>SCST-31</x:v>
      </x:c>
      <x:c r="C56" s="62" t="str">
        <x:v>PMV</x:v>
      </x:c>
      <x:c r="D56" s="62" t="str">
        <x:v>HARD</x:v>
      </x:c>
      <x:c r="E56" s="62" t="str">
        <x:v>family_member_already_enrolled_in_pmv</x:v>
      </x:c>
      <x:c r="F56" s="62" t="str">
        <x:v>=</x:v>
      </x:c>
      <x:c r="G56" s="62" t="str">
        <x:v>FALSE</x:v>
      </x:c>
      <x:c r="H56" s="62" t="str">
        <x:v>Only one family member may register</x:v>
      </x:c>
      <x:c r="I56" s="62" t="str">
        <x:v>Hard gate</x:v>
      </x:c>
      <x:c r="J56" s="62" t="str">
        <x:v>Scheme-specific exclusion; do not globalise.</x:v>
      </x:c>
      <x:c r="K56" s="70" t="str">
        <x:v>https://pmvishwakarma.gov.in/</x:v>
      </x:c>
    </x:row>
    <x:row r="57" ht="52" customHeight="1">
      <x:c r="A57" s="69" t="str">
        <x:v>R-052</x:v>
      </x:c>
      <x:c r="B57" s="62" t="str">
        <x:v>SCST-31</x:v>
      </x:c>
      <x:c r="C57" s="62" t="str">
        <x:v>PMV</x:v>
      </x:c>
      <x:c r="D57" s="62" t="str">
        <x:v>HARD</x:v>
      </x:c>
      <x:c r="E57" s="62" t="str">
        <x:v>is_government_employee</x:v>
      </x:c>
      <x:c r="F57" s="62" t="str">
        <x:v>=</x:v>
      </x:c>
      <x:c r="G57" s="62" t="str">
        <x:v>FALSE</x:v>
      </x:c>
      <x:c r="H57" s="62" t="str">
        <x:v>Government employee exclusion</x:v>
      </x:c>
      <x:c r="I57" s="62" t="str">
        <x:v>Hard gate</x:v>
      </x:c>
      <x:c r="J57" s="62" t="str">
        <x:v>Verify current scheme wording and family rules.</x:v>
      </x:c>
      <x:c r="K57" s="70" t="str">
        <x:v>https://pmvishwakarma.gov.in/</x:v>
      </x:c>
    </x:row>
    <x:row r="58" ht="52" customHeight="1">
      <x:c r="A58" s="69" t="str">
        <x:v>R-053</x:v>
      </x:c>
      <x:c r="B58" s="62" t="str">
        <x:v>SCST-31</x:v>
      </x:c>
      <x:c r="C58" s="62" t="str">
        <x:v>PMV</x:v>
      </x:c>
      <x:c r="D58" s="62" t="str">
        <x:v>VERIFY</x:v>
      </x:c>
      <x:c r="E58" s="62" t="str">
        <x:v>trade</x:v>
      </x:c>
      <x:c r="F58" s="62" t="str">
        <x:v>IN</x:v>
      </x:c>
      <x:c r="G58" s="62" t="str">
        <x:v>Current notified trade lookup</x:v>
      </x:c>
      <x:c r="H58" s="62" t="str">
        <x:v>18-trade verification</x:v>
      </x:c>
      <x:c r="I58" s="62" t="str">
        <x:v>Verification</x:v>
      </x:c>
      <x:c r="J58" s="62" t="str">
        <x:v>Current dashboard labels should be versioned in lookup data.</x:v>
      </x:c>
      <x:c r="K58" s="70" t="str">
        <x:v>https://dashboard.msme.gov.in/pmv_details.aspx?stid=1</x:v>
      </x:c>
    </x:row>
    <x:row r="59" ht="52" customHeight="1">
      <x:c r="A59" s="69" t="str">
        <x:v>R-054</x:v>
      </x:c>
      <x:c r="B59" s="62" t="str">
        <x:v>SCST-32</x:v>
      </x:c>
      <x:c r="C59" s="62" t="str">
        <x:v>SFURTI</x:v>
      </x:c>
      <x:c r="D59" s="62" t="str">
        <x:v>HARD</x:v>
      </x:c>
      <x:c r="E59" s="62" t="str">
        <x:v>is_artisan_or_craftsperson</x:v>
      </x:c>
      <x:c r="F59" s="62" t="str">
        <x:v>=</x:v>
      </x:c>
      <x:c r="G59" s="62" t="str">
        <x:v>TRUE</x:v>
      </x:c>
      <x:c r="H59" s="62" t="str">
        <x:v>Artisan/traditional industry link</x:v>
      </x:c>
      <x:c r="I59" s="62" t="str">
        <x:v>Hard gate</x:v>
      </x:c>
      <x:c r="J59" s="62" t="str">
        <x:v>Individuals access via cluster.</x:v>
      </x:c>
      <x:c r="K59" s="70" t="str">
        <x:v>https://sfurti.msme.gov.in/SFURTI/Home.aspx</x:v>
      </x:c>
    </x:row>
    <x:row r="60" ht="52" customHeight="1">
      <x:c r="A60" s="69" t="str">
        <x:v>R-055</x:v>
      </x:c>
      <x:c r="B60" s="62" t="str">
        <x:v>SCST-32</x:v>
      </x:c>
      <x:c r="C60" s="62" t="str">
        <x:v>SFURTI</x:v>
      </x:c>
      <x:c r="D60" s="62" t="str">
        <x:v>VERIFY</x:v>
      </x:c>
      <x:c r="E60" s="62" t="str">
        <x:v>applicant_type</x:v>
      </x:c>
      <x:c r="F60" s="62" t="str">
        <x:v>IN</x:v>
      </x:c>
      <x:c r="G60" s="62" t="str">
        <x:v>SHG | Cluster SPV | Implementing Agency</x:v>
      </x:c>
      <x:c r="H60" s="62" t="str">
        <x:v>Cluster route</x:v>
      </x:c>
      <x:c r="I60" s="62" t="str">
        <x:v>Verification</x:v>
      </x:c>
      <x:c r="J60" s="62" t="str">
        <x:v>Not an ordinary direct loan application.</x:v>
      </x:c>
      <x:c r="K60" s="70" t="str">
        <x:v>https://sfurti.msme.gov.in/SFURTI/Home.aspx</x:v>
      </x:c>
    </x:row>
    <x:row r="61" ht="52" customHeight="1">
      <x:c r="A61" s="69" t="str">
        <x:v>R-056</x:v>
      </x:c>
      <x:c r="B61" s="62" t="str">
        <x:v>SCST-33</x:v>
      </x:c>
      <x:c r="C61" s="62" t="str">
        <x:v>SVEP</x:v>
      </x:c>
      <x:c r="D61" s="62" t="str">
        <x:v>HARD</x:v>
      </x:c>
      <x:c r="E61" s="62" t="str">
        <x:v>location_type</x:v>
      </x:c>
      <x:c r="F61" s="62" t="str">
        <x:v>=</x:v>
      </x:c>
      <x:c r="G61" s="62" t="str">
        <x:v>Rural</x:v>
      </x:c>
      <x:c r="H61" s="62" t="str">
        <x:v>Rural programme area</x:v>
      </x:c>
      <x:c r="I61" s="62" t="str">
        <x:v>Hard gate</x:v>
      </x:c>
      <x:c r="J61" s="62" t="str">
        <x:v>Approved block coverage required.</x:v>
      </x:c>
      <x:c r="K61" s="70" t="str">
        <x:v>https://www.svep.nrlm.gov.in/landing</x:v>
      </x:c>
    </x:row>
    <x:row r="62" ht="52" customHeight="1">
      <x:c r="A62" s="69" t="str">
        <x:v>R-057</x:v>
      </x:c>
      <x:c r="B62" s="62" t="str">
        <x:v>SCST-33</x:v>
      </x:c>
      <x:c r="C62" s="62" t="str">
        <x:v>SVEP</x:v>
      </x:c>
      <x:c r="D62" s="62" t="str">
        <x:v>HARD</x:v>
      </x:c>
      <x:c r="E62" s="62" t="str">
        <x:v>shg_membership</x:v>
      </x:c>
      <x:c r="F62" s="62" t="str">
        <x:v>=</x:v>
      </x:c>
      <x:c r="G62" s="62" t="str">
        <x:v>TRUE</x:v>
      </x:c>
      <x:c r="H62" s="62" t="str">
        <x:v>SHG/family ecosystem link</x:v>
      </x:c>
      <x:c r="I62" s="62" t="str">
        <x:v>Hard gate</x:v>
      </x:c>
      <x:c r="J62" s="62" t="str">
        <x:v>Confirm state/block implementation.</x:v>
      </x:c>
      <x:c r="K62" s="70" t="str">
        <x:v>https://www.svep.nrlm.gov.in/landing</x:v>
      </x:c>
    </x:row>
    <x:row r="63" ht="52" customHeight="1">
      <x:c r="A63" s="69" t="str">
        <x:v>R-058</x:v>
      </x:c>
      <x:c r="B63" s="62" t="str">
        <x:v>SCST-34</x:v>
      </x:c>
      <x:c r="C63" s="62" t="str">
        <x:v>DAY-NULM-SEP</x:v>
      </x:c>
      <x:c r="D63" s="62" t="str">
        <x:v>HARD</x:v>
      </x:c>
      <x:c r="E63" s="62" t="str">
        <x:v>location_type</x:v>
      </x:c>
      <x:c r="F63" s="62" t="str">
        <x:v>=</x:v>
      </x:c>
      <x:c r="G63" s="62" t="str">
        <x:v>Urban</x:v>
      </x:c>
      <x:c r="H63" s="62" t="str">
        <x:v>Urban programme area</x:v>
      </x:c>
      <x:c r="I63" s="62" t="str">
        <x:v>Hard gate</x:v>
      </x:c>
      <x:c r="J63" s="62" t="str">
        <x:v>Covered town/ULB required.</x:v>
      </x:c>
      <x:c r="K63" s="70" t="str">
        <x:v>https://nulm.gov.in/</x:v>
      </x:c>
    </x:row>
    <x:row r="64" ht="52" customHeight="1">
      <x:c r="A64" s="69" t="str">
        <x:v>R-059</x:v>
      </x:c>
      <x:c r="B64" s="62" t="str">
        <x:v>SCST-34</x:v>
      </x:c>
      <x:c r="C64" s="62" t="str">
        <x:v>DAY-NULM-SEP</x:v>
      </x:c>
      <x:c r="D64" s="62" t="str">
        <x:v>VERIFY</x:v>
      </x:c>
      <x:c r="E64" s="62" t="str">
        <x:v>annual_family_income_inr</x:v>
      </x:c>
      <x:c r="F64" s="62" t="str">
        <x:v>IS NOT BLANK</x:v>
      </x:c>
      <x:c r="G64" s="62" t="str">
        <x:v>Urban-poor selection proof</x:v>
      </x:c>
      <x:c r="H64" s="62" t="str">
        <x:v>Urban-poor eligibility</x:v>
      </x:c>
      <x:c r="I64" s="62" t="str">
        <x:v>Verification</x:v>
      </x:c>
      <x:c r="J64" s="62" t="str">
        <x:v>Local ULB selection and current rules apply.</x:v>
      </x:c>
      <x:c r="K64" s="70" t="str">
        <x:v>https://nulm.gov.in/</x:v>
      </x:c>
    </x:row>
    <x:row r="65" ht="52" customHeight="1">
      <x:c r="A65" s="69" t="str">
        <x:v>R-060</x:v>
      </x:c>
      <x:c r="B65" s="62" t="str">
        <x:v>SCST-35</x:v>
      </x:c>
      <x:c r="C65" s="62" t="str">
        <x:v>SUPI</x:v>
      </x:c>
      <x:c r="D65" s="62" t="str">
        <x:v>STATUS</x:v>
      </x:c>
      <x:c r="E65" s="62" t="str">
        <x:v>status</x:v>
      </x:c>
      <x:c r="F65" s="62" t="str">
        <x:v>=</x:v>
      </x:c>
      <x:c r="G65" s="62" t="str">
        <x:v>SUPERSEDED</x:v>
      </x:c>
      <x:c r="H65" s="62" t="str">
        <x:v>Historical-only status</x:v>
      </x:c>
      <x:c r="I65" s="62" t="str">
        <x:v>Status control</x:v>
      </x:c>
      <x:c r="J65" s="62" t="str">
        <x:v>Official DFS page states scheme was only up to 31-Mar-2025.</x:v>
      </x:c>
      <x:c r="K65" s="70" t="str">
        <x:v>https://financialservices.gov.in/stand-india-scheme-supi</x:v>
      </x:c>
    </x:row>
    <x:row r="66" ht="52" customHeight="1">
      <x:c r="A66" s="71" t="str">
        <x:v>R-061</x:v>
      </x:c>
      <x:c r="B66" s="65" t="str">
        <x:v>SCST-36</x:v>
      </x:c>
      <x:c r="C66" s="65" t="str">
        <x:v>FIRST-TIMER-2CR</x:v>
      </x:c>
      <x:c r="D66" s="65" t="str">
        <x:v>STATUS</x:v>
      </x:c>
      <x:c r="E66" s="65" t="str">
        <x:v>status</x:v>
      </x:c>
      <x:c r="F66" s="65" t="str">
        <x:v>=</x:v>
      </x:c>
      <x:c r="G66" s="65" t="str">
        <x:v>ANNOUNCED_NOT_OPERATIONAL</x:v>
      </x:c>
      <x:c r="H66" s="65" t="str">
        <x:v>Watchlist-only status</x:v>
      </x:c>
      <x:c r="I66" s="65" t="str">
        <x:v>Status control</x:v>
      </x:c>
      <x:c r="J66" s="65" t="str">
        <x:v>Do not show as currently apply-able until guidelines and portal are notified.</x:v>
      </x:c>
      <x:c r="K66" s="72" t="str">
        <x:v>https://financialservices.gov.in/stand-india-scheme-supi</x:v>
      </x:c>
    </x:row>
  </x:sheetData>
  <x:mergeCells>
    <x:mergeCell ref="A1:K1"/>
    <x:mergeCell ref="A2:K2"/>
  </x:mergeCells>
  <x:conditionalFormatting sqref="D6:D66">
    <x:cfRule type="containsText" dxfId="3" priority="1" operator="containsText" text="HARD"/>
    <x:cfRule type="containsText" dxfId="4" priority="2" operator="containsText" text="CONDITIONAL"/>
    <x:cfRule type="containsText" dxfId="5" priority="3" operator="containsText" text="SOFT"/>
  </x:conditionalFormatting>
  <x:dataValidations count="1">
    <x:dataValidation type="list" sqref="D6:D66">
      <x:formula1>"HARD,CONDITIONAL,SOFT,VERIFY,STATUS"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56eadb0c046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6" hidden="0" customWidth="1"/>
    <x:col min="4" max="4" width="38" hidden="0" customWidth="1"/>
    <x:col min="5" max="5" width="42" hidden="0" customWidth="1"/>
    <x:col min="6" max="6" width="34" hidden="0" customWidth="1"/>
    <x:col min="7" max="7" width="64" hidden="0" customWidth="1"/>
  </x:cols>
  <x:sheetData>
    <x:row r="1" ht="34" customHeight="1">
      <x:c r="A1" s="4" t="str">
        <x:v>Profile Fields</x:v>
      </x:c>
      <x:c r="B1" s="4"/>
      <x:c r="C1" s="4"/>
      <x:c r="D1" s="4"/>
      <x:c r="E1" s="4"/>
      <x:c r="F1" s="4"/>
      <x:c r="G1" s="4"/>
    </x:row>
    <x:row r="2" ht="30" customHeight="1">
      <x:c r="A2" s="8" t="str">
        <x:v>Canonical fields for the future eligibility intake and matching engine. Keep unknown values explicit; do not silently treat missing evidence as satisfied.</x:v>
      </x:c>
      <x:c r="B2" s="8"/>
      <x:c r="C2" s="8"/>
      <x:c r="D2" s="8"/>
      <x:c r="E2" s="8"/>
      <x:c r="F2" s="8"/>
      <x:c r="G2" s="8"/>
    </x:row>
    <x:row r="5">
      <x:c r="A5" s="17" t="str">
        <x:v>Field Key</x:v>
      </x:c>
      <x:c r="B5" s="17" t="str">
        <x:v>Label</x:v>
      </x:c>
      <x:c r="C5" s="17" t="str">
        <x:v>Data Type</x:v>
      </x:c>
      <x:c r="D5" s="17" t="str">
        <x:v>Allowed / Format</x:v>
      </x:c>
      <x:c r="E5" s="17" t="str">
        <x:v>Used By</x:v>
      </x:c>
      <x:c r="F5" s="17" t="str">
        <x:v>Evidence / Document</x:v>
      </x:c>
      <x:c r="G5" s="17" t="str">
        <x:v>Engine Note</x:v>
      </x:c>
    </x:row>
    <x:row r="6" ht="44" customHeight="1">
      <x:c r="A6" s="31" t="str">
        <x:v>is_indian_citizen</x:v>
      </x:c>
      <x:c r="B6" s="43" t="str">
        <x:v>Indian citizenship</x:v>
      </x:c>
      <x:c r="C6" s="43" t="str">
        <x:v>boolean</x:v>
      </x:c>
      <x:c r="D6" s="43" t="str">
        <x:v>true/false</x:v>
      </x:c>
      <x:c r="E6" s="43" t="str">
        <x:v>PMEGP, PMMY, PMV</x:v>
      </x:c>
      <x:c r="F6" s="43" t="str">
        <x:v>Identity/KYC</x:v>
      </x:c>
      <x:c r="G6" s="32" t="str">
        <x:v>Required where the scheme rule states it; confirm source wording.</x:v>
      </x:c>
    </x:row>
    <x:row r="7" ht="44" customHeight="1">
      <x:c r="A7" s="33" t="str">
        <x:v>age</x:v>
      </x:c>
      <x:c r="B7" s="44" t="str">
        <x:v>Applicant age</x:v>
      </x:c>
      <x:c r="C7" s="44" t="str">
        <x:v>number</x:v>
      </x:c>
      <x:c r="D7" s="44" t="str">
        <x:v>years</x:v>
      </x:c>
      <x:c r="E7" s="44" t="str">
        <x:v>PMEGP, PMV, PM-DAKSH, SUPI</x:v>
      </x:c>
      <x:c r="F7" s="44" t="str">
        <x:v>Age proof</x:v>
      </x:c>
      <x:c r="G7" s="34" t="str">
        <x:v>Use numeric age and comparison operators.</x:v>
      </x:c>
    </x:row>
    <x:row r="8" ht="44" customHeight="1">
      <x:c r="A8" s="33" t="str">
        <x:v>social_category</x:v>
      </x:c>
      <x:c r="B8" s="44" t="str">
        <x:v>Social category</x:v>
      </x:c>
      <x:c r="C8" s="44" t="str">
        <x:v>enum</x:v>
      </x:c>
      <x:c r="D8" s="44" t="str">
        <x:v>SC | ST | OBC | General | Other</x:v>
      </x:c>
      <x:c r="E8" s="44" t="str">
        <x:v>All SC/ST-targeted and priority schemes</x:v>
      </x:c>
      <x:c r="F8" s="44" t="str">
        <x:v>Caste certificate</x:v>
      </x:c>
      <x:c r="G8" s="34" t="str">
        <x:v>Keep SC and ST separate; do not collapse them into one value in matching logic.</x:v>
      </x:c>
    </x:row>
    <x:row r="9" ht="44" customHeight="1">
      <x:c r="A9" s="33" t="str">
        <x:v>gender</x:v>
      </x:c>
      <x:c r="B9" s="44" t="str">
        <x:v>Gender</x:v>
      </x:c>
      <x:c r="C9" s="44" t="str">
        <x:v>enum</x:v>
      </x:c>
      <x:c r="D9" s="44" t="str">
        <x:v>Woman | Man | Other / self-described</x:v>
      </x:c>
      <x:c r="E9" s="44" t="str">
        <x:v>NSFDC, NSTFDC AMSY, PMEGP, VCF-SC, PM-AJAY</x:v>
      </x:c>
      <x:c r="F9" s="44" t="str">
        <x:v>Identity / self-declaration</x:v>
      </x:c>
      <x:c r="G9" s="34" t="str">
        <x:v>Use only when a scheme has a gender-specific rule or priority.</x:v>
      </x:c>
    </x:row>
    <x:row r="10" ht="44" customHeight="1">
      <x:c r="A10" s="33" t="str">
        <x:v>state</x:v>
      </x:c>
      <x:c r="B10" s="44" t="str">
        <x:v>State / UT of residence</x:v>
      </x:c>
      <x:c r="C10" s="44" t="str">
        <x:v>enum</x:v>
      </x:c>
      <x:c r="D10" s="44" t="str">
        <x:v>State / UT</x:v>
      </x:c>
      <x:c r="E10" s="44" t="str">
        <x:v>All state-channelled schemes</x:v>
      </x:c>
      <x:c r="F10" s="44" t="str">
        <x:v>Residence proof</x:v>
      </x:c>
      <x:c r="G10" s="34" t="str">
        <x:v>Needed for notified-tribe and state implementation checks.</x:v>
      </x:c>
    </x:row>
    <x:row r="11" ht="44" customHeight="1">
      <x:c r="A11" s="33" t="str">
        <x:v>district</x:v>
      </x:c>
      <x:c r="B11" s="44" t="str">
        <x:v>District</x:v>
      </x:c>
      <x:c r="C11" s="44" t="str">
        <x:v>text</x:v>
      </x:c>
      <x:c r="D11" s="44" t="str">
        <x:v>District name</x:v>
      </x:c>
      <x:c r="E11" s="44" t="str">
        <x:v>PMFME, PM-AJAY, ODOP, local implementation</x:v>
      </x:c>
      <x:c r="F11" s="44" t="str">
        <x:v>Residence / local records</x:v>
      </x:c>
      <x:c r="G11" s="34" t="str">
        <x:v>Enables ODOP and district-level programme routing.</x:v>
      </x:c>
    </x:row>
    <x:row r="12" ht="44" customHeight="1">
      <x:c r="A12" s="33" t="str">
        <x:v>location_type</x:v>
      </x:c>
      <x:c r="B12" s="44" t="str">
        <x:v>Location</x:v>
      </x:c>
      <x:c r="C12" s="44" t="str">
        <x:v>enum</x:v>
      </x:c>
      <x:c r="D12" s="44" t="str">
        <x:v>Rural | Urban</x:v>
      </x:c>
      <x:c r="E12" s="44" t="str">
        <x:v>PMEGP, SVEP, DAY-NULM, PM-AJAY</x:v>
      </x:c>
      <x:c r="F12" s="44" t="str">
        <x:v>Address / local body proof</x:v>
      </x:c>
      <x:c r="G12" s="34" t="str">
        <x:v>Do not infer from state alone.</x:v>
      </x:c>
    </x:row>
    <x:row r="13" ht="44" customHeight="1">
      <x:c r="A13" s="33" t="str">
        <x:v>business_stage</x:v>
      </x:c>
      <x:c r="B13" s="44" t="str">
        <x:v>Business stage</x:v>
      </x:c>
      <x:c r="C13" s="44" t="str">
        <x:v>enum</x:v>
      </x:c>
      <x:c r="D13" s="44" t="str">
        <x:v>Idea | New | Existing | Expansion | Upgrade</x:v>
      </x:c>
      <x:c r="E13" s="44" t="str">
        <x:v>PMEGP, PMFME, NSSH, SCLCSS, PMMY</x:v>
      </x:c>
      <x:c r="F13" s="44" t="str">
        <x:v>Business proof / self-declaration</x:v>
      </x:c>
      <x:c r="G13" s="34" t="str">
        <x:v>Existing vs new is often a hard gate.</x:v>
      </x:c>
    </x:row>
    <x:row r="14" ht="44" customHeight="1">
      <x:c r="A14" s="33" t="str">
        <x:v>applicant_type</x:v>
      </x:c>
      <x:c r="B14" s="44" t="str">
        <x:v>Applicant / entity type</x:v>
      </x:c>
      <x:c r="C14" s="44" t="str">
        <x:v>enum</x:v>
      </x:c>
      <x:c r="D14" s="44" t="str">
        <x:v>Individual | Proprietorship | Partnership | Company | SHG | FPO | Cooperative | Society | SPV</x:v>
      </x:c>
      <x:c r="E14" s="44" t="str">
        <x:v>PMFME, MSE-CDP, PMJVM, NSFDC, NSTFDC</x:v>
      </x:c>
      <x:c r="F14" s="44" t="str">
        <x:v>Incorporation / group records</x:v>
      </x:c>
      <x:c r="G14" s="34" t="str">
        <x:v>Route component-based schemes by applicant type first.</x:v>
      </x:c>
    </x:row>
    <x:row r="15" ht="44" customHeight="1">
      <x:c r="A15" s="33" t="str">
        <x:v>ownership_sc_st_pct</x:v>
      </x:c>
      <x:c r="B15" s="44" t="str">
        <x:v>SC/ST promoter ownership</x:v>
      </x:c>
      <x:c r="C15" s="44" t="str">
        <x:v>percentage</x:v>
      </x:c>
      <x:c r="D15" s="44" t="str">
        <x:v>0–100%</x:v>
      </x:c>
      <x:c r="E15" s="44" t="str">
        <x:v>NSSH, SCLCSS, CEGSSC, VCF-SC/ST, PPP-MSE</x:v>
      </x:c>
      <x:c r="F15" s="44" t="str">
        <x:v>Shareholding / partnership deed</x:v>
      </x:c>
      <x:c r="G15" s="34" t="str">
        <x:v>Store separate SC and ST ownership percentages when possible.</x:v>
      </x:c>
    </x:row>
    <x:row r="16" ht="44" customHeight="1">
      <x:c r="A16" s="33" t="str">
        <x:v>annual_family_income_inr</x:v>
      </x:c>
      <x:c r="B16" s="44" t="str">
        <x:v>Annual family income</x:v>
      </x:c>
      <x:c r="C16" s="44" t="str">
        <x:v>currency</x:v>
      </x:c>
      <x:c r="D16" s="44" t="str">
        <x:v>₹</x:v>
      </x:c>
      <x:c r="E16" s="44" t="str">
        <x:v>NSFDC, NSTFDC, PM-AJAY, PM-DAKSH</x:v>
      </x:c>
      <x:c r="F16" s="44" t="str">
        <x:v>Income certificate</x:v>
      </x:c>
      <x:c r="G16" s="34" t="str">
        <x:v>Use current scheme-specific ceilings; do not globalise one ceiling.</x:v>
      </x:c>
    </x:row>
    <x:row r="17" ht="44" customHeight="1">
      <x:c r="A17" s="33" t="str">
        <x:v>project_cost_inr</x:v>
      </x:c>
      <x:c r="B17" s="44" t="str">
        <x:v>Total project cost</x:v>
      </x:c>
      <x:c r="C17" s="44" t="str">
        <x:v>currency</x:v>
      </x:c>
      <x:c r="D17" s="44" t="str">
        <x:v>₹</x:v>
      </x:c>
      <x:c r="E17" s="44" t="str">
        <x:v>PMEGP, NSFDC, NSTFDC, PMFME, NAMASTE</x:v>
      </x:c>
      <x:c r="F17" s="44" t="str">
        <x:v>DPR / quotations</x:v>
      </x:c>
      <x:c r="G17" s="34" t="str">
        <x:v>Use eligible project cost separately where a scheme defines it.</x:v>
      </x:c>
    </x:row>
    <x:row r="18" ht="44" customHeight="1">
      <x:c r="A18" s="33" t="str">
        <x:v>requested_loan_amount_inr</x:v>
      </x:c>
      <x:c r="B18" s="44" t="str">
        <x:v>Requested loan amount</x:v>
      </x:c>
      <x:c r="C18" s="44" t="str">
        <x:v>currency</x:v>
      </x:c>
      <x:c r="D18" s="44" t="str">
        <x:v>₹</x:v>
      </x:c>
      <x:c r="E18" s="44" t="str">
        <x:v>PMMY, NSFDC, NSTFDC, VCF</x:v>
      </x:c>
      <x:c r="F18" s="44" t="str">
        <x:v>Loan application / DPR</x:v>
      </x:c>
      <x:c r="G18" s="34" t="str">
        <x:v>Needed for loan band and ceiling checks.</x:v>
      </x:c>
    </x:row>
    <x:row r="19" ht="44" customHeight="1">
      <x:c r="A19" s="33" t="str">
        <x:v>project_sector</x:v>
      </x:c>
      <x:c r="B19" s="44" t="str">
        <x:v>Primary sector</x:v>
      </x:c>
      <x:c r="C19" s="44" t="str">
        <x:v>enum</x:v>
      </x:c>
      <x:c r="D19" s="44" t="str">
        <x:v>Manufacturing | Service | Trading | Food | Agriculture | Transport | Textile | Traditional craft | Sanitation | Other</x:v>
      </x:c>
      <x:c r="E19" s="44" t="str">
        <x:v>PMEGP, SCLCSS, PMFME, PMMY, CGTMSE</x:v>
      </x:c>
      <x:c r="F19" s="44" t="str">
        <x:v>Business plan / NIC</x:v>
      </x:c>
      <x:c r="G19" s="34" t="str">
        <x:v>Prefer structured sector and NIC over free text.</x:v>
      </x:c>
    </x:row>
    <x:row r="20" ht="44" customHeight="1">
      <x:c r="A20" s="33" t="str">
        <x:v>activity_code_nic</x:v>
      </x:c>
      <x:c r="B20" s="44" t="str">
        <x:v>NIC / activity code</x:v>
      </x:c>
      <x:c r="C20" s="44" t="str">
        <x:v>text</x:v>
      </x:c>
      <x:c r="D20" s="44" t="str">
        <x:v>NIC code</x:v>
      </x:c>
      <x:c r="E20" s="44" t="str">
        <x:v>SCLCSS, PMEGP, CGTMSE, PPP-MSE</x:v>
      </x:c>
      <x:c r="F20" s="44" t="str">
        <x:v>Udyam / business proof</x:v>
      </x:c>
      <x:c r="G20" s="34" t="str">
        <x:v>Useful for activity exclusions and sector eligibility.</x:v>
      </x:c>
    </x:row>
    <x:row r="21" ht="44" customHeight="1">
      <x:c r="A21" s="33" t="str">
        <x:v>has_capital_expenditure</x:v>
      </x:c>
      <x:c r="B21" s="44" t="str">
        <x:v>Capital expenditure included</x:v>
      </x:c>
      <x:c r="C21" s="44" t="str">
        <x:v>boolean</x:v>
      </x:c>
      <x:c r="D21" s="44" t="str">
        <x:v>true/false</x:v>
      </x:c>
      <x:c r="E21" s="44" t="str">
        <x:v>PMEGP, SCLCSS, PMFME</x:v>
      </x:c>
      <x:c r="F21" s="44" t="str">
        <x:v>DPR / quotations</x:v>
      </x:c>
      <x:c r="G21" s="34" t="str">
        <x:v>Use for hard capital-expenditure gates.</x:v>
      </x:c>
    </x:row>
    <x:row r="22" ht="44" customHeight="1">
      <x:c r="A22" s="33" t="str">
        <x:v>has_udyam_registration</x:v>
      </x:c>
      <x:c r="B22" s="44" t="str">
        <x:v>Udyam registration</x:v>
      </x:c>
      <x:c r="C22" s="44" t="str">
        <x:v>boolean</x:v>
      </x:c>
      <x:c r="D22" s="44" t="str">
        <x:v>true/false</x:v>
      </x:c>
      <x:c r="E22" s="44" t="str">
        <x:v>NSSH, SCLCSS, CGTMSE, PPP-MSE, SPRS</x:v>
      </x:c>
      <x:c r="F22" s="44" t="str">
        <x:v>Udyam certificate</x:v>
      </x:c>
      <x:c r="G22" s="34" t="str">
        <x:v>Do not apply as universal gate; keep scheme-specific.</x:v>
      </x:c>
    </x:row>
    <x:row r="23" ht="44" customHeight="1">
      <x:c r="A23" s="33" t="str">
        <x:v>is_artisan_or_craftsperson</x:v>
      </x:c>
      <x:c r="B23" s="44" t="str">
        <x:v>Artisan / craftsperson status</x:v>
      </x:c>
      <x:c r="C23" s="44" t="str">
        <x:v>boolean</x:v>
      </x:c>
      <x:c r="D23" s="44" t="str">
        <x:v>true/false</x:v>
      </x:c>
      <x:c r="E23" s="44" t="str">
        <x:v>PMV, SFURTI, NSSH</x:v>
      </x:c>
      <x:c r="F23" s="44" t="str">
        <x:v>Trade proof / local verification</x:v>
      </x:c>
      <x:c r="G23" s="34" t="str">
        <x:v>Pair with a structured trade field.</x:v>
      </x:c>
    </x:row>
    <x:row r="24" ht="44" customHeight="1">
      <x:c r="A24" s="33" t="str">
        <x:v>trade</x:v>
      </x:c>
      <x:c r="B24" s="44" t="str">
        <x:v>Notified / traditional trade</x:v>
      </x:c>
      <x:c r="C24" s="44" t="str">
        <x:v>enum</x:v>
      </x:c>
      <x:c r="D24" s="44" t="str">
        <x:v>Scheme-specific trade list</x:v>
      </x:c>
      <x:c r="E24" s="44" t="str">
        <x:v>PMV, SFURTI</x:v>
      </x:c>
      <x:c r="F24" s="44" t="str">
        <x:v>Trade proof</x:v>
      </x:c>
      <x:c r="G24" s="34" t="str">
        <x:v>Store the notified list as a versioned lookup table.</x:v>
      </x:c>
    </x:row>
    <x:row r="25" ht="44" customHeight="1">
      <x:c r="A25" s="33" t="str">
        <x:v>is_self_employed</x:v>
      </x:c>
      <x:c r="B25" s="44" t="str">
        <x:v>Self-employed status</x:v>
      </x:c>
      <x:c r="C25" s="44" t="str">
        <x:v>boolean</x:v>
      </x:c>
      <x:c r="D25" s="44" t="str">
        <x:v>true/false</x:v>
      </x:c>
      <x:c r="E25" s="44" t="str">
        <x:v>PMV, SVEP, PM-AJAY</x:v>
      </x:c>
      <x:c r="F25" s="44" t="str">
        <x:v>Self-declaration / local proof</x:v>
      </x:c>
      <x:c r="G25" s="34" t="str">
        <x:v>Can be hard, conditional or soft depending on scheme.</x:v>
      </x:c>
    </x:row>
    <x:row r="26" ht="44" customHeight="1">
      <x:c r="A26" s="33" t="str">
        <x:v>is_government_employee</x:v>
      </x:c>
      <x:c r="B26" s="44" t="str">
        <x:v>Government employment</x:v>
      </x:c>
      <x:c r="C26" s="44" t="str">
        <x:v>boolean</x:v>
      </x:c>
      <x:c r="D26" s="44" t="str">
        <x:v>true/false</x:v>
      </x:c>
      <x:c r="E26" s="44" t="str">
        <x:v>PMV</x:v>
      </x:c>
      <x:c r="F26" s="44" t="str">
        <x:v>Employment record / self-declaration</x:v>
      </x:c>
      <x:c r="G26" s="34" t="str">
        <x:v>PMV exclusion is scheme-specific.</x:v>
      </x:c>
    </x:row>
    <x:row r="27" ht="44" customHeight="1">
      <x:c r="A27" s="33" t="str">
        <x:v>family_member_already_enrolled_in_pmv</x:v>
      </x:c>
      <x:c r="B27" s="44" t="str">
        <x:v>Family member already enrolled under PMV</x:v>
      </x:c>
      <x:c r="C27" s="44" t="str">
        <x:v>boolean</x:v>
      </x:c>
      <x:c r="D27" s="44" t="str">
        <x:v>true/false</x:v>
      </x:c>
      <x:c r="E27" s="44" t="str">
        <x:v>PMV</x:v>
      </x:c>
      <x:c r="F27" s="44" t="str">
        <x:v>Self-declaration / official verification</x:v>
      </x:c>
      <x:c r="G27" s="34" t="str">
        <x:v>Do not generalise this to all schemes.</x:v>
      </x:c>
    </x:row>
    <x:row r="28" ht="44" customHeight="1">
      <x:c r="A28" s="33" t="str">
        <x:v>previous_loan_repaid_successfully</x:v>
      </x:c>
      <x:c r="B28" s="44" t="str">
        <x:v>Previous qualifying loan repaid</x:v>
      </x:c>
      <x:c r="C28" s="44" t="str">
        <x:v>boolean</x:v>
      </x:c>
      <x:c r="D28" s="44" t="str">
        <x:v>true/false/unknown</x:v>
      </x:c>
      <x:c r="E28" s="44" t="str">
        <x:v>PMMY Tarun Plus, PMV</x:v>
      </x:c>
      <x:c r="F28" s="44" t="str">
        <x:v>Lender record</x:v>
      </x:c>
      <x:c r="G28" s="34" t="str">
        <x:v>Use conditional rules only where triggered.</x:v>
      </x:c>
    </x:row>
    <x:row r="29" ht="44" customHeight="1">
      <x:c r="A29" s="33" t="str">
        <x:v>shg_membership</x:v>
      </x:c>
      <x:c r="B29" s="44" t="str">
        <x:v>SHG membership / group status</x:v>
      </x:c>
      <x:c r="C29" s="44" t="str">
        <x:v>boolean</x:v>
      </x:c>
      <x:c r="D29" s="44" t="str">
        <x:v>true/false</x:v>
      </x:c>
      <x:c r="E29" s="44" t="str">
        <x:v>NSTFDC MCS, SVEP, PMJVM, PMFME</x:v>
      </x:c>
      <x:c r="F29" s="44" t="str">
        <x:v>SHG records</x:v>
      </x:c>
      <x:c r="G29" s="34" t="str">
        <x:v>Group schemes require group-level data.</x:v>
      </x:c>
    </x:row>
    <x:row r="30" ht="44" customHeight="1">
      <x:c r="A30" s="33" t="str">
        <x:v>odop_match</x:v>
      </x:c>
      <x:c r="B30" s="44" t="str">
        <x:v>ODOP alignment</x:v>
      </x:c>
      <x:c r="C30" s="44" t="str">
        <x:v>boolean</x:v>
      </x:c>
      <x:c r="D30" s="44" t="str">
        <x:v>true/false/unknown</x:v>
      </x:c>
      <x:c r="E30" s="44" t="str">
        <x:v>PMFME</x:v>
      </x:c>
      <x:c r="F30" s="44" t="str">
        <x:v>District ODOP list</x:v>
      </x:c>
      <x:c r="G30" s="34" t="str">
        <x:v>Soft/priority factor unless component explicitly requires it.</x:v>
      </x:c>
    </x:row>
    <x:row r="31" ht="44" customHeight="1">
      <x:c r="A31" s="35" t="str">
        <x:v>sanitation_worker_profiled</x:v>
      </x:c>
      <x:c r="B31" s="45" t="str">
        <x:v>Sanitation worker / waste picker profile</x:v>
      </x:c>
      <x:c r="C31" s="45" t="str">
        <x:v>boolean</x:v>
      </x:c>
      <x:c r="D31" s="45" t="str">
        <x:v>true/false/unknown</x:v>
      </x:c>
      <x:c r="E31" s="45" t="str">
        <x:v>NAMASTE</x:v>
      </x:c>
      <x:c r="F31" s="45" t="str">
        <x:v>ULB / NAMASTE profile</x:v>
      </x:c>
      <x:c r="G31" s="36" t="str">
        <x:v>Needed before showing specialised NAMASTE pathway.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29549b18399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8" hidden="0" customWidth="1"/>
    <x:col min="5" max="5" width="44" hidden="0" customWidth="1"/>
    <x:col min="6" max="6" width="28" hidden="0" customWidth="1"/>
    <x:col min="7" max="7" width="46" hidden="0" customWidth="1"/>
  </x:cols>
  <x:sheetData>
    <x:row r="1" ht="34" customHeight="1">
      <x:c r="A1" s="4" t="str">
        <x:v>Document Checklist</x:v>
      </x:c>
      <x:c r="B1" s="4"/>
      <x:c r="C1" s="4"/>
      <x:c r="D1" s="4"/>
      <x:c r="E1" s="4"/>
      <x:c r="F1" s="4"/>
      <x:c r="G1" s="4"/>
    </x:row>
    <x:row r="2" ht="30" customHeight="1">
      <x:c r="A2" s="8" t="str">
        <x:v>Starter checklist for guided applications. Treat ‘Mandatory’ as a prompt, not a legal conclusion; final requirements come from the implementing authority and lender.</x:v>
      </x:c>
      <x:c r="B2" s="8"/>
      <x:c r="C2" s="8"/>
      <x:c r="D2" s="8"/>
      <x:c r="E2" s="8"/>
      <x:c r="F2" s="8"/>
      <x:c r="G2" s="8"/>
    </x:row>
    <x:row r="5">
      <x:c r="A5" s="17" t="str">
        <x:v>Scheme ID</x:v>
      </x:c>
      <x:c r="B5" s="17" t="str">
        <x:v>Scheme</x:v>
      </x:c>
      <x:c r="C5" s="17" t="str">
        <x:v>Document / Proof</x:v>
      </x:c>
      <x:c r="D5" s="17" t="str">
        <x:v>Requirement</x:v>
      </x:c>
      <x:c r="E5" s="17" t="str">
        <x:v>Why It Matters</x:v>
      </x:c>
      <x:c r="F5" s="17" t="str">
        <x:v>Applicant / Entity</x:v>
      </x:c>
      <x:c r="G5" s="17" t="str">
        <x:v>Source URL</x:v>
      </x:c>
    </x:row>
    <x:row r="6" ht="44" customHeight="1">
      <x:c r="A6" s="31" t="str">
        <x:v>SCST-01</x:v>
      </x:c>
      <x:c r="B6" s="43" t="str">
        <x:v>National SC-ST Hub</x:v>
      </x:c>
      <x:c r="C6" s="43" t="str">
        <x:v>Caste certificate / SC-ST ownership proof</x:v>
      </x:c>
      <x:c r="D6" s="43" t="str">
        <x:v>Conditional</x:v>
      </x:c>
      <x:c r="E6" s="43" t="str">
        <x:v>Verify target group or enterprise ownership.</x:v>
      </x:c>
      <x:c r="F6" s="43" t="str">
        <x:v>SC/ST entrepreneur / MSE</x:v>
      </x:c>
      <x:c r="G6" s="32" t="str">
        <x:v>https://scsthub.in/</x:v>
      </x:c>
    </x:row>
    <x:row r="7" ht="44" customHeight="1">
      <x:c r="A7" s="33" t="str">
        <x:v>SCST-02</x:v>
      </x:c>
      <x:c r="B7" s="44" t="str">
        <x:v>SCLCSS</x:v>
      </x:c>
      <x:c r="C7" s="44" t="str">
        <x:v>SC/ST certificate and ownership documents</x:v>
      </x:c>
      <x:c r="D7" s="44" t="str">
        <x:v>Mandatory</x:v>
      </x:c>
      <x:c r="E7" s="44" t="str">
        <x:v>Core eligibility and ownership definition.</x:v>
      </x:c>
      <x:c r="F7" s="44" t="str">
        <x:v>SC/ST-owned MSE</x:v>
      </x:c>
      <x:c r="G7" s="34" t="str">
        <x:v>https://sclcss.msme.gov.in/Manual/Guidelines.pdf</x:v>
      </x:c>
    </x:row>
    <x:row r="8" ht="44" customHeight="1">
      <x:c r="A8" s="33" t="str">
        <x:v>SCST-02</x:v>
      </x:c>
      <x:c r="B8" s="44" t="str">
        <x:v>SCLCSS</x:v>
      </x:c>
      <x:c r="C8" s="44" t="str">
        <x:v>Udyam registration</x:v>
      </x:c>
      <x:c r="D8" s="44" t="str">
        <x:v>Mandatory</x:v>
      </x:c>
      <x:c r="E8" s="44" t="str">
        <x:v>MSE status and lender processing.</x:v>
      </x:c>
      <x:c r="F8" s="44" t="str">
        <x:v>MSE</x:v>
      </x:c>
      <x:c r="G8" s="34" t="str">
        <x:v>https://sclcss.msme.gov.in/Manual/Guidelines.pdf</x:v>
      </x:c>
    </x:row>
    <x:row r="9" ht="44" customHeight="1">
      <x:c r="A9" s="33" t="str">
        <x:v>SCST-02</x:v>
      </x:c>
      <x:c r="B9" s="44" t="str">
        <x:v>SCLCSS</x:v>
      </x:c>
      <x:c r="C9" s="44" t="str">
        <x:v>DPR and equipment quotations</x:v>
      </x:c>
      <x:c r="D9" s="44" t="str">
        <x:v>Mandatory</x:v>
      </x:c>
      <x:c r="E9" s="44" t="str">
        <x:v>Eligible plant/machinery and project viability.</x:v>
      </x:c>
      <x:c r="F9" s="44" t="str">
        <x:v>MSE</x:v>
      </x:c>
      <x:c r="G9" s="34" t="str">
        <x:v>https://sclcss.msme.gov.in/Manual/Guidelines.pdf</x:v>
      </x:c>
    </x:row>
    <x:row r="10" ht="44" customHeight="1">
      <x:c r="A10" s="33" t="str">
        <x:v>SCST-06</x:v>
      </x:c>
      <x:c r="B10" s="44" t="str">
        <x:v>PPP-MSE</x:v>
      </x:c>
      <x:c r="C10" s="44" t="str">
        <x:v>Udyam / MSE proof</x:v>
      </x:c>
      <x:c r="D10" s="44" t="str">
        <x:v>Mandatory</x:v>
      </x:c>
      <x:c r="E10" s="44" t="str">
        <x:v>Procurement policy benefits apply to eligible MSEs.</x:v>
      </x:c>
      <x:c r="F10" s="44" t="str">
        <x:v>MSE</x:v>
      </x:c>
      <x:c r="G10" s="34" t="str">
        <x:v>https://my.msme.gov.in/MyMsme/Reg/PPP_Home.aspx</x:v>
      </x:c>
    </x:row>
    <x:row r="11" ht="44" customHeight="1">
      <x:c r="A11" s="33" t="str">
        <x:v>SCST-06</x:v>
      </x:c>
      <x:c r="B11" s="44" t="str">
        <x:v>PPP-MSE</x:v>
      </x:c>
      <x:c r="C11" s="44" t="str">
        <x:v>SC/ST ownership proof</x:v>
      </x:c>
      <x:c r="D11" s="44" t="str">
        <x:v>Mandatory for sub-target</x:v>
      </x:c>
      <x:c r="E11" s="44" t="str">
        <x:v>Claim SC/ST sub-target classification.</x:v>
      </x:c>
      <x:c r="F11" s="44" t="str">
        <x:v>SC/ST-owned MSE</x:v>
      </x:c>
      <x:c r="G11" s="34" t="str">
        <x:v>https://my.msme.gov.in/MyMsme/Reg/PPP_Home.aspx</x:v>
      </x:c>
    </x:row>
    <x:row r="12" ht="44" customHeight="1">
      <x:c r="A12" s="33" t="str">
        <x:v>SCST-08</x:v>
      </x:c>
      <x:c r="B12" s="44" t="str">
        <x:v>VCF-SC</x:v>
      </x:c>
      <x:c r="C12" s="44" t="str">
        <x:v>SC certificate</x:v>
      </x:c>
      <x:c r="D12" s="44" t="str">
        <x:v>Mandatory</x:v>
      </x:c>
      <x:c r="E12" s="44" t="str">
        <x:v>SC promoter eligibility.</x:v>
      </x:c>
      <x:c r="F12" s="44" t="str">
        <x:v>SC entrepreneur</x:v>
      </x:c>
      <x:c r="G12" s="34" t="str">
        <x:v>https://www.ifciventure.com/venture-capital-fund-scheduled-castes-vcf-sc-and-venture-capital-fund-backward-classes-vcf-bc.aspx</x:v>
      </x:c>
    </x:row>
    <x:row r="13" ht="44" customHeight="1">
      <x:c r="A13" s="33" t="str">
        <x:v>SCST-08</x:v>
      </x:c>
      <x:c r="B13" s="44" t="str">
        <x:v>VCF-SC</x:v>
      </x:c>
      <x:c r="C13" s="44" t="str">
        <x:v>Pitch deck / DPR and financial projections</x:v>
      </x:c>
      <x:c r="D13" s="44" t="str">
        <x:v>Mandatory</x:v>
      </x:c>
      <x:c r="E13" s="44" t="str">
        <x:v>Investment committee due diligence.</x:v>
      </x:c>
      <x:c r="F13" s="44" t="str">
        <x:v>Startup / company</x:v>
      </x:c>
      <x:c r="G13" s="34" t="str">
        <x:v>https://www.pib.gov.in/PressReleasePage.aspx?PRID=2209488&amp;lang=1&amp;reg=1</x:v>
      </x:c>
    </x:row>
    <x:row r="14" ht="44" customHeight="1">
      <x:c r="A14" s="33" t="str">
        <x:v>SCST-10</x:v>
      </x:c>
      <x:c r="B14" s="44" t="str">
        <x:v>CEGSSC</x:v>
      </x:c>
      <x:c r="C14" s="44" t="str">
        <x:v>SC ownership and incorporation documents</x:v>
      </x:c>
      <x:c r="D14" s="44" t="str">
        <x:v>Mandatory</x:v>
      </x:c>
      <x:c r="E14" s="44" t="str">
        <x:v>Promoter and entity eligibility.</x:v>
      </x:c>
      <x:c r="F14" s="44" t="str">
        <x:v>SC enterprise</x:v>
      </x:c>
      <x:c r="G14" s="34" t="str">
        <x:v>https://socialjustice.gov.in/schemes/32</x:v>
      </x:c>
    </x:row>
    <x:row r="15" ht="44" customHeight="1">
      <x:c r="A15" s="33" t="str">
        <x:v>SCST-10</x:v>
      </x:c>
      <x:c r="B15" s="44" t="str">
        <x:v>CEGSSC</x:v>
      </x:c>
      <x:c r="C15" s="44" t="str">
        <x:v>Lender application / sanction</x:v>
      </x:c>
      <x:c r="D15" s="44" t="str">
        <x:v>Mandatory</x:v>
      </x:c>
      <x:c r="E15" s="44" t="str">
        <x:v>Guarantee is routed through lender/IFCI.</x:v>
      </x:c>
      <x:c r="F15" s="44" t="str">
        <x:v>SC enterprise</x:v>
      </x:c>
      <x:c r="G15" s="34" t="str">
        <x:v>https://www.ifcicegssc.in/</x:v>
      </x:c>
    </x:row>
    <x:row r="16" ht="44" customHeight="1">
      <x:c r="A16" s="33" t="str">
        <x:v>SCST-11</x:v>
      </x:c>
      <x:c r="B16" s="44" t="str">
        <x:v>NSFDC Term Loan</x:v>
      </x:c>
      <x:c r="C16" s="44" t="str">
        <x:v>SC caste certificate</x:v>
      </x:c>
      <x:c r="D16" s="44" t="str">
        <x:v>Mandatory</x:v>
      </x:c>
      <x:c r="E16" s="44" t="str">
        <x:v>Core NSFDC category requirement.</x:v>
      </x:c>
      <x:c r="F16" s="44" t="str">
        <x:v>SC individual</x:v>
      </x:c>
      <x:c r="G16" s="34" t="str">
        <x:v>https://nsfdc.nic.in/faqs</x:v>
      </x:c>
    </x:row>
    <x:row r="17" ht="44" customHeight="1">
      <x:c r="A17" s="33" t="str">
        <x:v>SCST-11</x:v>
      </x:c>
      <x:c r="B17" s="44" t="str">
        <x:v>NSFDC Term Loan</x:v>
      </x:c>
      <x:c r="C17" s="44" t="str">
        <x:v>Annual family income certificate</x:v>
      </x:c>
      <x:c r="D17" s="44" t="str">
        <x:v>Mandatory</x:v>
      </x:c>
      <x:c r="E17" s="44" t="str">
        <x:v>Current loan income ceiling.</x:v>
      </x:c>
      <x:c r="F17" s="44" t="str">
        <x:v>SC individual</x:v>
      </x:c>
      <x:c r="G17" s="34" t="str">
        <x:v>https://nsfdc.nic.in/faqs</x:v>
      </x:c>
    </x:row>
    <x:row r="18" ht="44" customHeight="1">
      <x:c r="A18" s="33" t="str">
        <x:v>SCST-11</x:v>
      </x:c>
      <x:c r="B18" s="44" t="str">
        <x:v>NSFDC Term Loan</x:v>
      </x:c>
      <x:c r="C18" s="44" t="str">
        <x:v>DPR / project report and quotations</x:v>
      </x:c>
      <x:c r="D18" s="44" t="str">
        <x:v>Mandatory</x:v>
      </x:c>
      <x:c r="E18" s="44" t="str">
        <x:v>Viability and project cost.</x:v>
      </x:c>
      <x:c r="F18" s="44" t="str">
        <x:v>SC individual</x:v>
      </x:c>
      <x:c r="G18" s="34" t="str">
        <x:v>https://nsfdc.nic.in/faqs</x:v>
      </x:c>
    </x:row>
    <x:row r="19" ht="44" customHeight="1">
      <x:c r="A19" s="33" t="str">
        <x:v>SCST-17</x:v>
      </x:c>
      <x:c r="B19" s="44" t="str">
        <x:v>PM-DAKSH</x:v>
      </x:c>
      <x:c r="C19" s="44" t="str">
        <x:v>SC caste certificate</x:v>
      </x:c>
      <x:c r="D19" s="44" t="str">
        <x:v>Mandatory</x:v>
      </x:c>
      <x:c r="E19" s="44" t="str">
        <x:v>Training target group.</x:v>
      </x:c>
      <x:c r="F19" s="44" t="str">
        <x:v>SC candidate</x:v>
      </x:c>
      <x:c r="G19" s="34" t="str">
        <x:v>https://socialjustice.gov.in/schemes/100</x:v>
      </x:c>
    </x:row>
    <x:row r="20" ht="44" customHeight="1">
      <x:c r="A20" s="33" t="str">
        <x:v>SCST-17</x:v>
      </x:c>
      <x:c r="B20" s="44" t="str">
        <x:v>PM-DAKSH</x:v>
      </x:c>
      <x:c r="C20" s="44" t="str">
        <x:v>Age proof and KYC</x:v>
      </x:c>
      <x:c r="D20" s="44" t="str">
        <x:v>Mandatory</x:v>
      </x:c>
      <x:c r="E20" s="44" t="str">
        <x:v>18–45 age band and identity.</x:v>
      </x:c>
      <x:c r="F20" s="44" t="str">
        <x:v>SC candidate</x:v>
      </x:c>
      <x:c r="G20" s="34" t="str">
        <x:v>https://socialjustice.gov.in/schemes/100</x:v>
      </x:c>
    </x:row>
    <x:row r="21" ht="44" customHeight="1">
      <x:c r="A21" s="33" t="str">
        <x:v>SCST-18</x:v>
      </x:c>
      <x:c r="B21" s="44" t="str">
        <x:v>PM-AJAY</x:v>
      </x:c>
      <x:c r="C21" s="44" t="str">
        <x:v>Caste / poverty / local selection proof</x:v>
      </x:c>
      <x:c r="D21" s="44" t="str">
        <x:v>Conditional</x:v>
      </x:c>
      <x:c r="E21" s="44" t="str">
        <x:v>State/district project selection.</x:v>
      </x:c>
      <x:c r="F21" s="44" t="str">
        <x:v>SC household</x:v>
      </x:c>
      <x:c r="G21" s="34" t="str">
        <x:v>https://pmajay.dosje.gov.in/content/about-scheme</x:v>
      </x:c>
    </x:row>
    <x:row r="22" ht="44" customHeight="1">
      <x:c r="A22" s="33" t="str">
        <x:v>SCST-19</x:v>
      </x:c>
      <x:c r="B22" s="44" t="str">
        <x:v>NAMASTE</x:v>
      </x:c>
      <x:c r="C22" s="44" t="str">
        <x:v>Worker profile / ULB validation</x:v>
      </x:c>
      <x:c r="D22" s="44" t="str">
        <x:v>Mandatory</x:v>
      </x:c>
      <x:c r="E22" s="44" t="str">
        <x:v>Targeted worker pathway.</x:v>
      </x:c>
      <x:c r="F22" s="44" t="str">
        <x:v>Sanitation worker</x:v>
      </x:c>
      <x:c r="G22" s="34" t="str">
        <x:v>https://socialjustice.gov.in/schemes/37/archive</x:v>
      </x:c>
    </x:row>
    <x:row r="23" ht="44" customHeight="1">
      <x:c r="A23" s="33" t="str">
        <x:v>SCST-19</x:v>
      </x:c>
      <x:c r="B23" s="44" t="str">
        <x:v>NAMASTE</x:v>
      </x:c>
      <x:c r="C23" s="44" t="str">
        <x:v>Sanitation project DPR and quotations</x:v>
      </x:c>
      <x:c r="D23" s="44" t="str">
        <x:v>Mandatory</x:v>
      </x:c>
      <x:c r="E23" s="44" t="str">
        <x:v>Capital subsidy for project.</x:v>
      </x:c>
      <x:c r="F23" s="44" t="str">
        <x:v>Worker / SHG</x:v>
      </x:c>
      <x:c r="G23" s="34" t="str">
        <x:v>https://bmsnamaste.dosje.gov.in/</x:v>
      </x:c>
    </x:row>
    <x:row r="24" ht="44" customHeight="1">
      <x:c r="A24" s="33" t="str">
        <x:v>SCST-20</x:v>
      </x:c>
      <x:c r="B24" s="44" t="str">
        <x:v>NSTFDC Term Loan</x:v>
      </x:c>
      <x:c r="C24" s="44" t="str">
        <x:v>ST certificate and residence proof</x:v>
      </x:c>
      <x:c r="D24" s="44" t="str">
        <x:v>Mandatory</x:v>
      </x:c>
      <x:c r="E24" s="44" t="str">
        <x:v>ST and notified-tribe jurisdiction.</x:v>
      </x:c>
      <x:c r="F24" s="44" t="str">
        <x:v>ST individual</x:v>
      </x:c>
      <x:c r="G24" s="34" t="str">
        <x:v>https://nstfdc.tribal.gov.in/</x:v>
      </x:c>
    </x:row>
    <x:row r="25" ht="44" customHeight="1">
      <x:c r="A25" s="33" t="str">
        <x:v>SCST-20</x:v>
      </x:c>
      <x:c r="B25" s="44" t="str">
        <x:v>NSTFDC Term Loan</x:v>
      </x:c>
      <x:c r="C25" s="44" t="str">
        <x:v>Income proof and DPR</x:v>
      </x:c>
      <x:c r="D25" s="44" t="str">
        <x:v>Mandatory</x:v>
      </x:c>
      <x:c r="E25" s="44" t="str">
        <x:v>Income ceiling and viable project.</x:v>
      </x:c>
      <x:c r="F25" s="44" t="str">
        <x:v>ST individual</x:v>
      </x:c>
      <x:c r="G25" s="34" t="str">
        <x:v>https://nstfdc.tribal.gov.in/</x:v>
      </x:c>
    </x:row>
    <x:row r="26" ht="44" customHeight="1">
      <x:c r="A26" s="33" t="str">
        <x:v>SCST-21</x:v>
      </x:c>
      <x:c r="B26" s="44" t="str">
        <x:v>NSTFDC AMSY</x:v>
      </x:c>
      <x:c r="C26" s="44" t="str">
        <x:v>ST certificate and gender proof</x:v>
      </x:c>
      <x:c r="D26" s="44" t="str">
        <x:v>Mandatory</x:v>
      </x:c>
      <x:c r="E26" s="44" t="str">
        <x:v>ST woman eligibility.</x:v>
      </x:c>
      <x:c r="F26" s="44" t="str">
        <x:v>ST woman</x:v>
      </x:c>
      <x:c r="G26" s="34" t="str">
        <x:v>https://nstfdc.tribal.gov.in/</x:v>
      </x:c>
    </x:row>
    <x:row r="27" ht="44" customHeight="1">
      <x:c r="A27" s="33" t="str">
        <x:v>SCST-22</x:v>
      </x:c>
      <x:c r="B27" s="44" t="str">
        <x:v>NSTFDC MCS</x:v>
      </x:c>
      <x:c r="C27" s="44" t="str">
        <x:v>ST certificates for all SHG members</x:v>
      </x:c>
      <x:c r="D27" s="44" t="str">
        <x:v>Mandatory</x:v>
      </x:c>
      <x:c r="E27" s="44" t="str">
        <x:v>Group eligibility.</x:v>
      </x:c>
      <x:c r="F27" s="44" t="str">
        <x:v>ST SHG</x:v>
      </x:c>
      <x:c r="G27" s="34" t="str">
        <x:v>https://nstfdc.tribal.gov.in/</x:v>
      </x:c>
    </x:row>
    <x:row r="28" ht="44" customHeight="1">
      <x:c r="A28" s="33" t="str">
        <x:v>SCST-22</x:v>
      </x:c>
      <x:c r="B28" s="44" t="str">
        <x:v>NSTFDC MCS</x:v>
      </x:c>
      <x:c r="C28" s="44" t="str">
        <x:v>SHG records and bank account</x:v>
      </x:c>
      <x:c r="D28" s="44" t="str">
        <x:v>Mandatory</x:v>
      </x:c>
      <x:c r="E28" s="44" t="str">
        <x:v>Existing SHG and repayment route.</x:v>
      </x:c>
      <x:c r="F28" s="44" t="str">
        <x:v>ST SHG</x:v>
      </x:c>
      <x:c r="G28" s="34" t="str">
        <x:v>https://nstfdc.tribal.gov.in/</x:v>
      </x:c>
    </x:row>
    <x:row r="29" ht="44" customHeight="1">
      <x:c r="A29" s="33" t="str">
        <x:v>SCST-24</x:v>
      </x:c>
      <x:c r="B29" s="44" t="str">
        <x:v>VCF-ST</x:v>
      </x:c>
      <x:c r="C29" s="44" t="str">
        <x:v>ST ownership / incorporation proof</x:v>
      </x:c>
      <x:c r="D29" s="44" t="str">
        <x:v>Mandatory</x:v>
      </x:c>
      <x:c r="E29" s="44" t="str">
        <x:v>ST promoter eligibility.</x:v>
      </x:c>
      <x:c r="F29" s="44" t="str">
        <x:v>ST company / startup</x:v>
      </x:c>
      <x:c r="G29" s="34" t="str">
        <x:v>https://www.vcfst.in/</x:v>
      </x:c>
    </x:row>
    <x:row r="30" ht="44" customHeight="1">
      <x:c r="A30" s="33" t="str">
        <x:v>SCST-25</x:v>
      </x:c>
      <x:c r="B30" s="44" t="str">
        <x:v>PMJVM / Van Dhan</x:v>
      </x:c>
      <x:c r="C30" s="44" t="str">
        <x:v>SHG / producer enterprise records</x:v>
      </x:c>
      <x:c r="D30" s="44" t="str">
        <x:v>Mandatory</x:v>
      </x:c>
      <x:c r="E30" s="44" t="str">
        <x:v>Group/value-chain route.</x:v>
      </x:c>
      <x:c r="F30" s="44" t="str">
        <x:v>ST group</x:v>
      </x:c>
      <x:c r="G30" s="34" t="str">
        <x:v>https://trifed.tribal.gov.in/index.php/en/pmvdy</x:v>
      </x:c>
    </x:row>
    <x:row r="31" ht="44" customHeight="1">
      <x:c r="A31" s="33" t="str">
        <x:v>SCST-26</x:v>
      </x:c>
      <x:c r="B31" s="44" t="str">
        <x:v>PMEGP</x:v>
      </x:c>
      <x:c r="C31" s="44" t="str">
        <x:v>Aadhaar/KYC, DPR and quotations</x:v>
      </x:c>
      <x:c r="D31" s="44" t="str">
        <x:v>Mandatory</x:v>
      </x:c>
      <x:c r="E31" s="44" t="str">
        <x:v>Application and bank appraisal.</x:v>
      </x:c>
      <x:c r="F31" s="44" t="str">
        <x:v>Individual / eligible entity</x:v>
      </x:c>
      <x:c r="G31" s="34" t="str">
        <x:v>https://pmegp.msme.gov.in/Home/Index</x:v>
      </x:c>
    </x:row>
    <x:row r="32" ht="44" customHeight="1">
      <x:c r="A32" s="33" t="str">
        <x:v>SCST-26</x:v>
      </x:c>
      <x:c r="B32" s="44" t="str">
        <x:v>PMEGP</x:v>
      </x:c>
      <x:c r="C32" s="44" t="str">
        <x:v>Caste certificate if claiming special category</x:v>
      </x:c>
      <x:c r="D32" s="44" t="str">
        <x:v>Conditional</x:v>
      </x:c>
      <x:c r="E32" s="44" t="str">
        <x:v>SC/ST subsidy and contribution.</x:v>
      </x:c>
      <x:c r="F32" s="44" t="str">
        <x:v>SC/ST applicant</x:v>
      </x:c>
      <x:c r="G32" s="34" t="str">
        <x:v>https://pmegp.msme.gov.in/Home/Index</x:v>
      </x:c>
    </x:row>
    <x:row r="33" ht="44" customHeight="1">
      <x:c r="A33" s="33" t="str">
        <x:v>SCST-27</x:v>
      </x:c>
      <x:c r="B33" s="44" t="str">
        <x:v>CGTMSE</x:v>
      </x:c>
      <x:c r="C33" s="44" t="str">
        <x:v>Udyam and lender application</x:v>
      </x:c>
      <x:c r="D33" s="44" t="str">
        <x:v>Mandatory</x:v>
      </x:c>
      <x:c r="E33" s="44" t="str">
        <x:v>Lender-led guarantee process.</x:v>
      </x:c>
      <x:c r="F33" s="44" t="str">
        <x:v>MSE</x:v>
      </x:c>
      <x:c r="G33" s="34" t="str">
        <x:v>https://www.cgtmse.in/Home/VS/3</x:v>
      </x:c>
    </x:row>
    <x:row r="34" ht="44" customHeight="1">
      <x:c r="A34" s="33" t="str">
        <x:v>SCST-29</x:v>
      </x:c>
      <x:c r="B34" s="44" t="str">
        <x:v>PMMY</x:v>
      </x:c>
      <x:c r="C34" s="44" t="str">
        <x:v>KYC, business plan and bank statements</x:v>
      </x:c>
      <x:c r="D34" s="44" t="str">
        <x:v>Mandatory</x:v>
      </x:c>
      <x:c r="E34" s="44" t="str">
        <x:v>Lender appraisal.</x:v>
      </x:c>
      <x:c r="F34" s="44" t="str">
        <x:v>Micro-enterprise</x:v>
      </x:c>
      <x:c r="G34" s="34" t="str">
        <x:v>https://financialservices.gov.in/pradhan-mantri-mudra-yojana-pmmy</x:v>
      </x:c>
    </x:row>
    <x:row r="35" ht="44" customHeight="1">
      <x:c r="A35" s="33" t="str">
        <x:v>SCST-30</x:v>
      </x:c>
      <x:c r="B35" s="44" t="str">
        <x:v>PMFME</x:v>
      </x:c>
      <x:c r="C35" s="44" t="str">
        <x:v>DPR and 10% contribution evidence</x:v>
      </x:c>
      <x:c r="D35" s="44" t="str">
        <x:v>Mandatory</x:v>
      </x:c>
      <x:c r="E35" s="44" t="str">
        <x:v>Individual-unit component.</x:v>
      </x:c>
      <x:c r="F35" s="44" t="str">
        <x:v>Food-processing unit</x:v>
      </x:c>
      <x:c r="G35" s="34" t="str">
        <x:v>https://pmfme.mofpi.gov.in/pmfme/assets/PDF/Scheme%20Guidelines/SchemeGuidelines-English.pdf</x:v>
      </x:c>
    </x:row>
    <x:row r="36" ht="44" customHeight="1">
      <x:c r="A36" s="33" t="str">
        <x:v>SCST-31</x:v>
      </x:c>
      <x:c r="B36" s="44" t="str">
        <x:v>PM Vishwakarma</x:v>
      </x:c>
      <x:c r="C36" s="44" t="str">
        <x:v>Aadhaar and bank details</x:v>
      </x:c>
      <x:c r="D36" s="44" t="str">
        <x:v>Mandatory</x:v>
      </x:c>
      <x:c r="E36" s="44" t="str">
        <x:v>Portal registration and benefit delivery.</x:v>
      </x:c>
      <x:c r="F36" s="44" t="str">
        <x:v>Artisan</x:v>
      </x:c>
      <x:c r="G36" s="34" t="str">
        <x:v>https://pmvishwakarma.gov.in/</x:v>
      </x:c>
    </x:row>
    <x:row r="37" ht="44" customHeight="1">
      <x:c r="A37" s="33" t="str">
        <x:v>SCST-31</x:v>
      </x:c>
      <x:c r="B37" s="44" t="str">
        <x:v>PM Vishwakarma</x:v>
      </x:c>
      <x:c r="C37" s="44" t="str">
        <x:v>Trade evidence / local verification</x:v>
      </x:c>
      <x:c r="D37" s="44" t="str">
        <x:v>Mandatory</x:v>
      </x:c>
      <x:c r="E37" s="44" t="str">
        <x:v>Notified trade verification.</x:v>
      </x:c>
      <x:c r="F37" s="44" t="str">
        <x:v>Artisan</x:v>
      </x:c>
      <x:c r="G37" s="34" t="str">
        <x:v>https://pmvishwakarma.gov.in/</x:v>
      </x:c>
    </x:row>
    <x:row r="38" ht="44" customHeight="1">
      <x:c r="A38" s="33" t="str">
        <x:v>SCST-32</x:v>
      </x:c>
      <x:c r="B38" s="44" t="str">
        <x:v>SFURTI</x:v>
      </x:c>
      <x:c r="C38" s="44" t="str">
        <x:v>Artisan / cluster membership evidence</x:v>
      </x:c>
      <x:c r="D38" s="44" t="str">
        <x:v>Mandatory</x:v>
      </x:c>
      <x:c r="E38" s="44" t="str">
        <x:v>Cluster route.</x:v>
      </x:c>
      <x:c r="F38" s="44" t="str">
        <x:v>Artisan / group</x:v>
      </x:c>
      <x:c r="G38" s="34" t="str">
        <x:v>https://sfurti.msme.gov.in/SFURTI/Home.aspx</x:v>
      </x:c>
    </x:row>
    <x:row r="39" ht="44" customHeight="1">
      <x:c r="A39" s="33" t="str">
        <x:v>SCST-33</x:v>
      </x:c>
      <x:c r="B39" s="44" t="str">
        <x:v>SVEP</x:v>
      </x:c>
      <x:c r="C39" s="44" t="str">
        <x:v>SHG / family linkage and business plan</x:v>
      </x:c>
      <x:c r="D39" s="44" t="str">
        <x:v>Mandatory</x:v>
      </x:c>
      <x:c r="E39" s="44" t="str">
        <x:v>Approved rural block pathway.</x:v>
      </x:c>
      <x:c r="F39" s="44" t="str">
        <x:v>Rural entrepreneur</x:v>
      </x:c>
      <x:c r="G39" s="34" t="str">
        <x:v>https://www.svep.nrlm.gov.in/landing</x:v>
      </x:c>
    </x:row>
    <x:row r="40" ht="44" customHeight="1">
      <x:c r="A40" s="35" t="str">
        <x:v>SCST-34</x:v>
      </x:c>
      <x:c r="B40" s="45" t="str">
        <x:v>DAY-NULM-SEP</x:v>
      </x:c>
      <x:c r="C40" s="45" t="str">
        <x:v>Urban-poor / residence proof and DPR</x:v>
      </x:c>
      <x:c r="D40" s="45" t="str">
        <x:v>Mandatory</x:v>
      </x:c>
      <x:c r="E40" s="45" t="str">
        <x:v>ULB selection and loan appraisal.</x:v>
      </x:c>
      <x:c r="F40" s="45" t="str">
        <x:v>Urban individual / group</x:v>
      </x:c>
      <x:c r="G40" s="36" t="str">
        <x:v>https://nulm.gov.in/</x:v>
      </x:c>
    </x:row>
  </x:sheetData>
  <x:mergeCells>
    <x:mergeCell ref="A1:G1"/>
    <x:mergeCell ref="A2:G2"/>
  </x:mergeCells>
  <x:conditionalFormatting sqref="D6:D60">
    <x:cfRule type="containsText" dxfId="6" priority="1" operator="containsText" text="Mandatory"/>
    <x:cfRule type="containsText" dxfId="7" priority="2" operator="containsText" text="Conditional"/>
  </x:conditionalFormatting>
  <x:dataValidations count="1">
    <x:dataValidation type="list" sqref="D6:D60">
      <x:formula1>"Mandatory,Conditional,Recommended,To be 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bc0a0fb33e4e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54" hidden="0" customWidth="1"/>
    <x:col min="5" max="5" width="20" hidden="0" customWidth="1"/>
    <x:col min="6" max="6" width="60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Source Register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Official source URLs used to populate the catalogue. Refresh the verification date before production deployment or hackathon demo claims.</x:v>
      </x:c>
      <x:c r="B2" s="8"/>
      <x:c r="C2" s="8"/>
      <x:c r="D2" s="8"/>
      <x:c r="E2" s="8"/>
      <x:c r="F2" s="8"/>
      <x:c r="G2" s="8"/>
      <x:c r="H2" s="8"/>
    </x:row>
    <x:row r="5">
      <x:c r="A5" s="17" t="str">
        <x:v>Source ID</x:v>
      </x:c>
      <x:c r="B5" s="17" t="str">
        <x:v>Organisation</x:v>
      </x:c>
      <x:c r="C5" s="17" t="str">
        <x:v>Source Title</x:v>
      </x:c>
      <x:c r="D5" s="17" t="str">
        <x:v>Official URL</x:v>
      </x:c>
      <x:c r="E5" s="17" t="str">
        <x:v>Source Type</x:v>
      </x:c>
      <x:c r="F5" s="17" t="str">
        <x:v>Key Fact Used</x:v>
      </x:c>
      <x:c r="G5" s="17" t="str">
        <x:v>Confidence</x:v>
      </x:c>
      <x:c r="H5" s="17" t="str">
        <x:v>Verified On</x:v>
      </x:c>
    </x:row>
    <x:row r="6" ht="50" customHeight="1">
      <x:c r="A6" s="31" t="str">
        <x:v>SRC-01</x:v>
      </x:c>
      <x:c r="B6" s="43" t="str">
        <x:v>Ministry of MSME</x:v>
      </x:c>
      <x:c r="C6" s="43" t="str">
        <x:v>National SC-ST Hub Scheme booklet</x:v>
      </x:c>
      <x:c r="D6" s="43" t="str">
        <x:v>https://msme.gov.in/sites/default/files/Scheme-booklet-Eng.pdf</x:v>
      </x:c>
      <x:c r="E6" s="43" t="str">
        <x:v>Guideline / booklet</x:v>
      </x:c>
      <x:c r="F6" s="43" t="str">
        <x:v>NSSH benefits, scope and SC/ST entrepreneur support.</x:v>
      </x:c>
      <x:c r="G6" s="43" t="str">
        <x:v>High</x:v>
      </x:c>
      <x:c r="H6" s="49" t="n">
        <x:v>46261</x:v>
      </x:c>
    </x:row>
    <x:row r="7" ht="50" customHeight="1">
      <x:c r="A7" s="33" t="str">
        <x:v>SRC-02</x:v>
      </x:c>
      <x:c r="B7" s="44" t="str">
        <x:v>SCLCSS portal / Ministry of MSME</x:v>
      </x:c>
      <x:c r="C7" s="44" t="str">
        <x:v>SCLCSS guidelines</x:v>
      </x:c>
      <x:c r="D7" s="44" t="str">
        <x:v>https://sclcss.msme.gov.in/Manual/Guidelines.pdf</x:v>
      </x:c>
      <x:c r="E7" s="44" t="str">
        <x:v>Guideline</x:v>
      </x:c>
      <x:c r="F7" s="44" t="str">
        <x:v>25% subsidy, ₹1 crore finance base, ₹25 lakh cap, ownership and sector.</x:v>
      </x:c>
      <x:c r="G7" s="44" t="str">
        <x:v>High</x:v>
      </x:c>
      <x:c r="H7" s="50" t="n">
        <x:v>46261</x:v>
      </x:c>
    </x:row>
    <x:row r="8" ht="50" customHeight="1">
      <x:c r="A8" s="33" t="str">
        <x:v>SRC-03</x:v>
      </x:c>
      <x:c r="B8" s="44" t="str">
        <x:v>Ministry of MSME</x:v>
      </x:c>
      <x:c r="C8" s="44" t="str">
        <x:v>Public Procurement Policy for MSEs</x:v>
      </x:c>
      <x:c r="D8" s="44" t="str">
        <x:v>https://www.msme.gov.in/public-procrument-policy</x:v>
      </x:c>
      <x:c r="E8" s="44" t="str">
        <x:v>Policy page</x:v>
      </x:c>
      <x:c r="F8" s="44" t="str">
        <x:v>25% MSE target and 4% SC/ST sub-target.</x:v>
      </x:c>
      <x:c r="G8" s="44" t="str">
        <x:v>High</x:v>
      </x:c>
      <x:c r="H8" s="50" t="n">
        <x:v>46261</x:v>
      </x:c>
    </x:row>
    <x:row r="9" ht="50" customHeight="1">
      <x:c r="A9" s="33" t="str">
        <x:v>SRC-04</x:v>
      </x:c>
      <x:c r="B9" s="44" t="str">
        <x:v>NSIC / Ministry of MSME</x:v>
      </x:c>
      <x:c r="C9" s="44" t="str">
        <x:v>Single Point Registration Scheme</x:v>
      </x:c>
      <x:c r="D9" s="44" t="str">
        <x:v>https://my.msme.gov.in/MyMsmeMob/MsmeScheme/Pages/1_2_3.html</x:v>
      </x:c>
      <x:c r="E9" s="44" t="str">
        <x:v>Scheme page</x:v>
      </x:c>
      <x:c r="F9" s="44" t="str">
        <x:v>Tender, EMD and procurement benefits.</x:v>
      </x:c>
      <x:c r="G9" s="44" t="str">
        <x:v>High</x:v>
      </x:c>
      <x:c r="H9" s="50" t="n">
        <x:v>46261</x:v>
      </x:c>
    </x:row>
    <x:row r="10" ht="50" customHeight="1">
      <x:c r="A10" s="33" t="str">
        <x:v>SRC-05</x:v>
      </x:c>
      <x:c r="B10" s="44" t="str">
        <x:v>IFCI Venture / MoSJE</x:v>
      </x:c>
      <x:c r="C10" s="44" t="str">
        <x:v>VCF-SC and VCF-BC fund page</x:v>
      </x:c>
      <x:c r="D10" s="44" t="str">
        <x:v>https://www.ifciventure.com/venture-capital-fund-scheduled-castes-vcf-sc-and-venture-capital-fund-backward-classes-vcf-bc.aspx</x:v>
      </x:c>
      <x:c r="E10" s="44" t="str">
        <x:v>Fund manager page</x:v>
      </x:c>
      <x:c r="F10" s="44" t="str">
        <x:v>VCF-SC purpose, fund manager, online application.</x:v>
      </x:c>
      <x:c r="G10" s="44" t="str">
        <x:v>High</x:v>
      </x:c>
      <x:c r="H10" s="50" t="n">
        <x:v>46261</x:v>
      </x:c>
    </x:row>
    <x:row r="11" ht="50" customHeight="1">
      <x:c r="A11" s="33" t="str">
        <x:v>SRC-06</x:v>
      </x:c>
      <x:c r="B11" s="44" t="str">
        <x:v>PIB / Government of India</x:v>
      </x:c>
      <x:c r="C11" s="44" t="str">
        <x:v>SC entrepreneurship funds update</x:v>
      </x:c>
      <x:c r="D11" s="44" t="str">
        <x:v>https://www.pib.gov.in/PressReleasePage.aspx?PRID=2209488&amp;lang=1&amp;reg=1</x:v>
      </x:c>
      <x:c r="E11" s="44" t="str">
        <x:v>Press release</x:v>
      </x:c>
      <x:c r="F11" s="44" t="str">
        <x:v>VCF-SC ticket/rate summary and ASIIM up to ₹30 lakh.</x:v>
      </x:c>
      <x:c r="G11" s="44" t="str">
        <x:v>High</x:v>
      </x:c>
      <x:c r="H11" s="50" t="n">
        <x:v>46261</x:v>
      </x:c>
    </x:row>
    <x:row r="12" ht="50" customHeight="1">
      <x:c r="A12" s="33" t="str">
        <x:v>SRC-07</x:v>
      </x:c>
      <x:c r="B12" s="44" t="str">
        <x:v>Department of Social Justice and Empowerment</x:v>
      </x:c>
      <x:c r="C12" s="44" t="str">
        <x:v>CEGSSC scheme page</x:v>
      </x:c>
      <x:c r="D12" s="44" t="str">
        <x:v>https://socialjustice.gov.in/schemes/32</x:v>
      </x:c>
      <x:c r="E12" s="44" t="str">
        <x:v>Department page</x:v>
      </x:c>
      <x:c r="F12" s="44" t="str">
        <x:v>CEGSSC objective and official fund manager link.</x:v>
      </x:c>
      <x:c r="G12" s="44" t="str">
        <x:v>High</x:v>
      </x:c>
      <x:c r="H12" s="50" t="n">
        <x:v>46261</x:v>
      </x:c>
    </x:row>
    <x:row r="13" ht="50" customHeight="1">
      <x:c r="A13" s="33" t="str">
        <x:v>SRC-08</x:v>
      </x:c>
      <x:c r="B13" s="44" t="str">
        <x:v>NSFDC</x:v>
      </x:c>
      <x:c r="C13" s="44" t="str">
        <x:v>NSFDC FAQ</x:v>
      </x:c>
      <x:c r="D13" s="44" t="str">
        <x:v>https://nsfdc.nic.in/faqs</x:v>
      </x:c>
      <x:c r="E13" s="44" t="str">
        <x:v>Official FAQ</x:v>
      </x:c>
      <x:c r="F13" s="44" t="str">
        <x:v>2026 income ceiling and MFS/AMY/Term Loan/UNY product summary.</x:v>
      </x:c>
      <x:c r="G13" s="44" t="str">
        <x:v>High</x:v>
      </x:c>
      <x:c r="H13" s="50" t="n">
        <x:v>46261</x:v>
      </x:c>
    </x:row>
    <x:row r="14" ht="50" customHeight="1">
      <x:c r="A14" s="33" t="str">
        <x:v>SRC-09</x:v>
      </x:c>
      <x:c r="B14" s="44" t="str">
        <x:v>Department of Social Justice and Empowerment</x:v>
      </x:c>
      <x:c r="C14" s="44" t="str">
        <x:v>NSFDC scheme page</x:v>
      </x:c>
      <x:c r="D14" s="44" t="str">
        <x:v>https://socialjustice.gov.in/schemes/34</x:v>
      </x:c>
      <x:c r="E14" s="44" t="str">
        <x:v>Department page</x:v>
      </x:c>
      <x:c r="F14" s="44" t="str">
        <x:v>NSFDC purpose and channelising model.</x:v>
      </x:c>
      <x:c r="G14" s="44" t="str">
        <x:v>High</x:v>
      </x:c>
      <x:c r="H14" s="50" t="n">
        <x:v>46261</x:v>
      </x:c>
    </x:row>
    <x:row r="15" ht="50" customHeight="1">
      <x:c r="A15" s="33" t="str">
        <x:v>SRC-10</x:v>
      </x:c>
      <x:c r="B15" s="44" t="str">
        <x:v>Department of Social Justice and Empowerment</x:v>
      </x:c>
      <x:c r="C15" s="44" t="str">
        <x:v>PM-DAKSH scheme page</x:v>
      </x:c>
      <x:c r="D15" s="44" t="str">
        <x:v>https://socialjustice.gov.in/schemes/100</x:v>
      </x:c>
      <x:c r="E15" s="44" t="str">
        <x:v>Department page</x:v>
      </x:c>
      <x:c r="F15" s="44" t="str">
        <x:v>SC training eligibility, age and stipend.</x:v>
      </x:c>
      <x:c r="G15" s="44" t="str">
        <x:v>High</x:v>
      </x:c>
      <x:c r="H15" s="50" t="n">
        <x:v>46261</x:v>
      </x:c>
    </x:row>
    <x:row r="16" ht="50" customHeight="1">
      <x:c r="A16" s="33" t="str">
        <x:v>SRC-11</x:v>
      </x:c>
      <x:c r="B16" s="44" t="str">
        <x:v>PM-AJAY portal</x:v>
      </x:c>
      <x:c r="C16" s="44" t="str">
        <x:v>About scheme / income-generating schemes</x:v>
      </x:c>
      <x:c r="D16" s="44" t="str">
        <x:v>https://pmajay.dosje.gov.in/content/about-scheme</x:v>
      </x:c>
      <x:c r="E16" s="44" t="str">
        <x:v>Official portal</x:v>
      </x:c>
      <x:c r="F16" s="44" t="str">
        <x:v>SC livelihood projects, state implementation and project-level support.</x:v>
      </x:c>
      <x:c r="G16" s="44" t="str">
        <x:v>High</x:v>
      </x:c>
      <x:c r="H16" s="50" t="n">
        <x:v>46261</x:v>
      </x:c>
    </x:row>
    <x:row r="17" ht="50" customHeight="1">
      <x:c r="A17" s="33" t="str">
        <x:v>SRC-12</x:v>
      </x:c>
      <x:c r="B17" s="44" t="str">
        <x:v>Department of Social Justice and Empowerment</x:v>
      </x:c>
      <x:c r="C17" s="44" t="str">
        <x:v>NAMASTE scheme page / FAQ</x:v>
      </x:c>
      <x:c r="D17" s="44" t="str">
        <x:v>https://socialjustice.gov.in/schemes/37/archive</x:v>
      </x:c>
      <x:c r="E17" s="44" t="str">
        <x:v>Official scheme page</x:v>
      </x:c>
      <x:c r="F17" s="44" t="str">
        <x:v>Sanitation worker entrepreneurship and subsidy ranges.</x:v>
      </x:c>
      <x:c r="G17" s="44" t="str">
        <x:v>High</x:v>
      </x:c>
      <x:c r="H17" s="50" t="n">
        <x:v>46261</x:v>
      </x:c>
    </x:row>
    <x:row r="18" ht="50" customHeight="1">
      <x:c r="A18" s="33" t="str">
        <x:v>SRC-13</x:v>
      </x:c>
      <x:c r="B18" s="44" t="str">
        <x:v>NSTFDC</x:v>
      </x:c>
      <x:c r="C18" s="44" t="str">
        <x:v>NSTFDC official portal and scheme pages</x:v>
      </x:c>
      <x:c r="D18" s="44" t="str">
        <x:v>https://nstfdc.tribal.gov.in/</x:v>
      </x:c>
      <x:c r="E18" s="44" t="str">
        <x:v>Official portal</x:v>
      </x:c>
      <x:c r="F18" s="44" t="str">
        <x:v>ST loan products and channelising model.</x:v>
      </x:c>
      <x:c r="G18" s="44" t="str">
        <x:v>High</x:v>
      </x:c>
      <x:c r="H18" s="50" t="n">
        <x:v>46261</x:v>
      </x:c>
    </x:row>
    <x:row r="19" ht="50" customHeight="1">
      <x:c r="A19" s="33" t="str">
        <x:v>SRC-14</x:v>
      </x:c>
      <x:c r="B19" s="44" t="str">
        <x:v>Ministry of Tribal Affairs</x:v>
      </x:c>
      <x:c r="C19" s="44" t="str">
        <x:v>Livelihood division / VCF-ST</x:v>
      </x:c>
      <x:c r="D19" s="44" t="str">
        <x:v>https://tribal.nic.in/Livelihood.aspx</x:v>
      </x:c>
      <x:c r="E19" s="44" t="str">
        <x:v>Ministry page</x:v>
      </x:c>
      <x:c r="F19" s="44" t="str">
        <x:v>PMJVM, VCF-ST and tribal entrepreneurship architecture.</x:v>
      </x:c>
      <x:c r="G19" s="44" t="str">
        <x:v>High</x:v>
      </x:c>
      <x:c r="H19" s="50" t="n">
        <x:v>46261</x:v>
      </x:c>
    </x:row>
    <x:row r="20" ht="50" customHeight="1">
      <x:c r="A20" s="33" t="str">
        <x:v>SRC-15</x:v>
      </x:c>
      <x:c r="B20" s="44" t="str">
        <x:v>VCF-ST / IFCI Venture</x:v>
      </x:c>
      <x:c r="C20" s="44" t="str">
        <x:v>VCF-ST portal</x:v>
      </x:c>
      <x:c r="D20" s="44" t="str">
        <x:v>https://www.vcfst.in/</x:v>
      </x:c>
      <x:c r="E20" s="44" t="str">
        <x:v>Fund manager portal</x:v>
      </x:c>
      <x:c r="F20" s="44" t="str">
        <x:v>VCF-ST purpose, 4% concessional finance and application route.</x:v>
      </x:c>
      <x:c r="G20" s="44" t="str">
        <x:v>High</x:v>
      </x:c>
      <x:c r="H20" s="50" t="n">
        <x:v>46261</x:v>
      </x:c>
    </x:row>
    <x:row r="21" ht="50" customHeight="1">
      <x:c r="A21" s="33" t="str">
        <x:v>SRC-16</x:v>
      </x:c>
      <x:c r="B21" s="44" t="str">
        <x:v>TRIFED</x:v>
      </x:c>
      <x:c r="C21" s="44" t="str">
        <x:v>Van Dhan / PMJVM portal</x:v>
      </x:c>
      <x:c r="D21" s="44" t="str">
        <x:v>https://trifed.tribal.gov.in/index.php/en/pmvdy</x:v>
      </x:c>
      <x:c r="E21" s="44" t="str">
        <x:v>Official portal</x:v>
      </x:c>
      <x:c r="F21" s="44" t="str">
        <x:v>VDVK/VDPE, training, value addition, branding and market linkage.</x:v>
      </x:c>
      <x:c r="G21" s="44" t="str">
        <x:v>High</x:v>
      </x:c>
      <x:c r="H21" s="50" t="n">
        <x:v>46261</x:v>
      </x:c>
    </x:row>
    <x:row r="22" ht="50" customHeight="1">
      <x:c r="A22" s="33" t="str">
        <x:v>SRC-17</x:v>
      </x:c>
      <x:c r="B22" s="44" t="str">
        <x:v>Department of Financial Services</x:v>
      </x:c>
      <x:c r="C22" s="44" t="str">
        <x:v>Stand-Up India status and PMMY</x:v>
      </x:c>
      <x:c r="D22" s="44" t="str">
        <x:v>https://financialservices.gov.in/stand-india-scheme-supi</x:v>
      </x:c>
      <x:c r="E22" s="44" t="str">
        <x:v>Status page</x:v>
      </x:c>
      <x:c r="F22" s="44" t="str">
        <x:v>SUPI ended 31-Mar-2025; successor announced but not operational.</x:v>
      </x:c>
      <x:c r="G22" s="44" t="str">
        <x:v>High</x:v>
      </x:c>
      <x:c r="H22" s="50" t="n">
        <x:v>46261</x:v>
      </x:c>
    </x:row>
    <x:row r="23" ht="50" customHeight="1">
      <x:c r="A23" s="33" t="str">
        <x:v>SRC-18</x:v>
      </x:c>
      <x:c r="B23" s="44" t="str">
        <x:v>Department of Financial Services</x:v>
      </x:c>
      <x:c r="C23" s="44" t="str">
        <x:v>PMMY</x:v>
      </x:c>
      <x:c r="D23" s="44" t="str">
        <x:v>https://financialservices.gov.in/pradhan-mantri-mudra-yojana-pmmy</x:v>
      </x:c>
      <x:c r="E23" s="44" t="str">
        <x:v>Official scheme page</x:v>
      </x:c>
      <x:c r="F23" s="44" t="str">
        <x:v>Loan bands, Tarun Plus, collateral-free credit.</x:v>
      </x:c>
      <x:c r="G23" s="44" t="str">
        <x:v>High</x:v>
      </x:c>
      <x:c r="H23" s="50" t="n">
        <x:v>46261</x:v>
      </x:c>
    </x:row>
    <x:row r="24" ht="50" customHeight="1">
      <x:c r="A24" s="33" t="str">
        <x:v>SRC-19</x:v>
      </x:c>
      <x:c r="B24" s="44" t="str">
        <x:v>CGTMSE</x:v>
      </x:c>
      <x:c r="C24" s="44" t="str">
        <x:v>CGS coverage page and 2025 scheme document</x:v>
      </x:c>
      <x:c r="D24" s="44" t="str">
        <x:v>https://www.cgtmse.in/Home/VS/3</x:v>
      </x:c>
      <x:c r="E24" s="44" t="str">
        <x:v>Official scheme page</x:v>
      </x:c>
      <x:c r="F24" s="44" t="str">
        <x:v>SC/ST enhanced guarantee coverage and ₹10 crore ceiling.</x:v>
      </x:c>
      <x:c r="G24" s="44" t="str">
        <x:v>High</x:v>
      </x:c>
      <x:c r="H24" s="50" t="n">
        <x:v>46261</x:v>
      </x:c>
    </x:row>
    <x:row r="25" ht="50" customHeight="1">
      <x:c r="A25" s="33" t="str">
        <x:v>SRC-20</x:v>
      </x:c>
      <x:c r="B25" s="44" t="str">
        <x:v>KVIC / Ministry of MSME</x:v>
      </x:c>
      <x:c r="C25" s="44" t="str">
        <x:v>PMEGP live portal / revised guidelines</x:v>
      </x:c>
      <x:c r="D25" s="44" t="str">
        <x:v>https://pmegp.msme.gov.in/Home/Index</x:v>
      </x:c>
      <x:c r="E25" s="44" t="str">
        <x:v>Official portal</x:v>
      </x:c>
      <x:c r="F25" s="44" t="str">
        <x:v>Current project caps, subsidy, age and negative-list conditions.</x:v>
      </x:c>
      <x:c r="G25" s="44" t="str">
        <x:v>High</x:v>
      </x:c>
      <x:c r="H25" s="50" t="n">
        <x:v>46261</x:v>
      </x:c>
    </x:row>
    <x:row r="26" ht="50" customHeight="1">
      <x:c r="A26" s="33" t="str">
        <x:v>SRC-21</x:v>
      </x:c>
      <x:c r="B26" s="44" t="str">
        <x:v>MoFPI</x:v>
      </x:c>
      <x:c r="C26" s="44" t="str">
        <x:v>PMFME portal / guidelines</x:v>
      </x:c>
      <x:c r="D26" s="44" t="str">
        <x:v>https://pmfme.mofpi.gov.in/</x:v>
      </x:c>
      <x:c r="E26" s="44" t="str">
        <x:v>Official portal</x:v>
      </x:c>
      <x:c r="F26" s="44" t="str">
        <x:v>35% subsidy, ₹10 lakh ceiling, 10% contribution, components.</x:v>
      </x:c>
      <x:c r="G26" s="44" t="str">
        <x:v>High</x:v>
      </x:c>
      <x:c r="H26" s="50" t="n">
        <x:v>46261</x:v>
      </x:c>
    </x:row>
    <x:row r="27" ht="50" customHeight="1">
      <x:c r="A27" s="33" t="str">
        <x:v>SRC-22</x:v>
      </x:c>
      <x:c r="B27" s="44" t="str">
        <x:v>Ministry of MSME</x:v>
      </x:c>
      <x:c r="C27" s="44" t="str">
        <x:v>PM Vishwakarma / MSME publication</x:v>
      </x:c>
      <x:c r="D27" s="44" t="str">
        <x:v>https://msme.gov.in/sites/default/files/July-SeptemberInsider2023v2.0.pdf</x:v>
      </x:c>
      <x:c r="E27" s="44" t="str">
        <x:v>Official publication</x:v>
      </x:c>
      <x:c r="F27" s="44" t="str">
        <x:v>18 trades, toolkit and credit support; portal is current source of truth.</x:v>
      </x:c>
      <x:c r="G27" s="44" t="str">
        <x:v>Medium</x:v>
      </x:c>
      <x:c r="H27" s="50" t="n">
        <x:v>46261</x:v>
      </x:c>
    </x:row>
    <x:row r="28" ht="50" customHeight="1">
      <x:c r="A28" s="33" t="str">
        <x:v>SRC-23</x:v>
      </x:c>
      <x:c r="B28" s="44" t="str">
        <x:v>Ministry of MSME</x:v>
      </x:c>
      <x:c r="C28" s="44" t="str">
        <x:v>SFURTI / MSE-CDP official pages</x:v>
      </x:c>
      <x:c r="D28" s="44" t="str">
        <x:v>https://sfurti.msme.gov.in/SFURTI/Home.aspx</x:v>
      </x:c>
      <x:c r="E28" s="44" t="str">
        <x:v>Official portal</x:v>
      </x:c>
      <x:c r="F28" s="44" t="str">
        <x:v>Cluster-based support and project-level access.</x:v>
      </x:c>
      <x:c r="G28" s="44" t="str">
        <x:v>High</x:v>
      </x:c>
      <x:c r="H28" s="50" t="n">
        <x:v>46261</x:v>
      </x:c>
    </x:row>
    <x:row r="29" ht="50" customHeight="1">
      <x:c r="A29" s="33" t="str">
        <x:v>SRC-24</x:v>
      </x:c>
      <x:c r="B29" s="44" t="str">
        <x:v>DAY-NRLM</x:v>
      </x:c>
      <x:c r="C29" s="44" t="str">
        <x:v>SVEP landing page</x:v>
      </x:c>
      <x:c r="D29" s="44" t="str">
        <x:v>https://www.svep.nrlm.gov.in/landing</x:v>
      </x:c>
      <x:c r="E29" s="44" t="str">
        <x:v>Official portal</x:v>
      </x:c>
      <x:c r="F29" s="44" t="str">
        <x:v>Rural SHG enterprise support.</x:v>
      </x:c>
      <x:c r="G29" s="44" t="str">
        <x:v>Medium</x:v>
      </x:c>
      <x:c r="H29" s="50" t="n">
        <x:v>46261</x:v>
      </x:c>
    </x:row>
    <x:row r="30" ht="50" customHeight="1">
      <x:c r="A30" s="35" t="str">
        <x:v>SRC-25</x:v>
      </x:c>
      <x:c r="B30" s="45" t="str">
        <x:v>DAY-NULM</x:v>
      </x:c>
      <x:c r="C30" s="45" t="str">
        <x:v>DAY-NULM portal</x:v>
      </x:c>
      <x:c r="D30" s="45" t="str">
        <x:v>https://nulm.gov.in/</x:v>
      </x:c>
      <x:c r="E30" s="45" t="str">
        <x:v>Official portal</x:v>
      </x:c>
      <x:c r="F30" s="45" t="str">
        <x:v>Urban self-employment route.</x:v>
      </x:c>
      <x:c r="G30" s="45" t="str">
        <x:v>Medium</x:v>
      </x:c>
      <x:c r="H30" s="51" t="n">
        <x:v>46261</x:v>
      </x:c>
    </x:row>
  </x:sheetData>
  <x:mergeCells>
    <x:mergeCell ref="A1:H1"/>
    <x:mergeCell ref="A2:H2"/>
  </x:mergeCells>
  <x:dataValidations count="1">
    <x:dataValidation type="list" sqref="G6:G3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50e483f9884b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22" hidden="0" customWidth="1"/>
    <x:col min="4" max="4" width="70" hidden="0" customWidth="1"/>
  </x:cols>
  <x:sheetData>
    <x:row r="1" ht="34" customHeight="1">
      <x:c r="A1" s="4" t="str">
        <x:v>State / UT Expansion Queue</x:v>
      </x:c>
      <x:c r="B1" s="4"/>
      <x:c r="C1" s="4"/>
      <x:c r="D1" s="4"/>
    </x:row>
    <x:row r="2" ht="30" customHeight="1">
      <x:c r="A2" s="8" t="str">
        <x:v>State and UT schemes are deliberately left for a later, location-aware research pass. This avoids claiming a single national list where rules are state-specific.</x:v>
      </x:c>
      <x:c r="B2" s="8"/>
      <x:c r="C2" s="8"/>
      <x:c r="D2" s="8"/>
    </x:row>
    <x:row r="5">
      <x:c r="A5" s="17" t="str">
        <x:v>State / UT</x:v>
      </x:c>
      <x:c r="B5" s="17" t="str">
        <x:v>Likely Official Entry Point</x:v>
      </x:c>
      <x:c r="C5" s="17" t="str">
        <x:v>Research Status</x:v>
      </x:c>
      <x:c r="D5" s="17" t="str">
        <x:v>Next Action</x:v>
      </x:c>
    </x:row>
    <x:row r="6" ht="36" customHeight="1">
      <x:c r="A6" s="31" t="str">
        <x:v>Andhra Pradesh</x:v>
      </x:c>
      <x:c r="B6" s="43" t="str">
        <x:v>State SC/ST Finance Corporation / Industries portal</x:v>
      </x:c>
      <x:c r="C6" s="43" t="str">
        <x:v>To be researched</x:v>
      </x:c>
      <x:c r="D6" s="32" t="str">
        <x:v>Add state-specific loan/subsidy and implementer data.</x:v>
      </x:c>
    </x:row>
    <x:row r="7" ht="36" customHeight="1">
      <x:c r="A7" s="33" t="str">
        <x:v>Arunachal Pradesh</x:v>
      </x:c>
      <x:c r="B7" s="44" t="str">
        <x:v>State Tribal / Industries portal</x:v>
      </x:c>
      <x:c r="C7" s="44" t="str">
        <x:v>To be researched</x:v>
      </x:c>
      <x:c r="D7" s="34" t="str">
        <x:v>Add state-specific tribal entrepreneurship schemes.</x:v>
      </x:c>
    </x:row>
    <x:row r="8" ht="36" customHeight="1">
      <x:c r="A8" s="33" t="str">
        <x:v>Assam</x:v>
      </x:c>
      <x:c r="B8" s="44" t="str">
        <x:v>State SC/ST / Tribal Welfare / Industries portal</x:v>
      </x:c>
      <x:c r="C8" s="44" t="str">
        <x:v>To be researched</x:v>
      </x:c>
      <x:c r="D8" s="34" t="str">
        <x:v>Add state-specific schemes and local channelising agencies.</x:v>
      </x:c>
    </x:row>
    <x:row r="9" ht="36" customHeight="1">
      <x:c r="A9" s="33" t="str">
        <x:v>Bihar</x:v>
      </x:c>
      <x:c r="B9" s="44" t="str">
        <x:v>State SC/ST Welfare / Industries portal</x:v>
      </x:c>
      <x:c r="C9" s="44" t="str">
        <x:v>To be researched</x:v>
      </x:c>
      <x:c r="D9" s="34" t="str">
        <x:v>Add state-specific schemes and district routes.</x:v>
      </x:c>
    </x:row>
    <x:row r="10" ht="36" customHeight="1">
      <x:c r="A10" s="33" t="str">
        <x:v>Chhattisgarh</x:v>
      </x:c>
      <x:c r="B10" s="44" t="str">
        <x:v>State Tribal Welfare / Industries portal</x:v>
      </x:c>
      <x:c r="C10" s="44" t="str">
        <x:v>To be researched</x:v>
      </x:c>
      <x:c r="D10" s="34" t="str">
        <x:v>Add tribal livelihood and state finance corporation schemes.</x:v>
      </x:c>
    </x:row>
    <x:row r="11" ht="36" customHeight="1">
      <x:c r="A11" s="33" t="str">
        <x:v>Delhi</x:v>
      </x:c>
      <x:c r="B11" s="44" t="str">
        <x:v>Delhi SC/ST/OBC/Minority Finance &amp; Development Corporation / Industries</x:v>
      </x:c>
      <x:c r="C11" s="44" t="str">
        <x:v>To be researched</x:v>
      </x:c>
      <x:c r="D11" s="34" t="str">
        <x:v>Add urban and state finance routes.</x:v>
      </x:c>
    </x:row>
    <x:row r="12" ht="36" customHeight="1">
      <x:c r="A12" s="33" t="str">
        <x:v>Goa</x:v>
      </x:c>
      <x:c r="B12" s="44" t="str">
        <x:v>State Industries / Social Welfare portal</x:v>
      </x:c>
      <x:c r="C12" s="44" t="str">
        <x:v>To be researched</x:v>
      </x:c>
      <x:c r="D12" s="34" t="str">
        <x:v>Add state-specific scheme data.</x:v>
      </x:c>
    </x:row>
    <x:row r="13" ht="36" customHeight="1">
      <x:c r="A13" s="33" t="str">
        <x:v>Gujarat</x:v>
      </x:c>
      <x:c r="B13" s="44" t="str">
        <x:v>State Social Justice / Industries portal</x:v>
      </x:c>
      <x:c r="C13" s="44" t="str">
        <x:v>To be researched</x:v>
      </x:c>
      <x:c r="D13" s="34" t="str">
        <x:v>Add state-specific SC/ST entrepreneur schemes.</x:v>
      </x:c>
    </x:row>
    <x:row r="14" ht="36" customHeight="1">
      <x:c r="A14" s="33" t="str">
        <x:v>Haryana</x:v>
      </x:c>
      <x:c r="B14" s="44" t="str">
        <x:v>State SC Finance &amp; Development Corporation / Industries</x:v>
      </x:c>
      <x:c r="C14" s="44" t="str">
        <x:v>To be researched</x:v>
      </x:c>
      <x:c r="D14" s="34" t="str">
        <x:v>Add state-specific schemes.</x:v>
      </x:c>
    </x:row>
    <x:row r="15" ht="36" customHeight="1">
      <x:c r="A15" s="33" t="str">
        <x:v>Himachal Pradesh</x:v>
      </x:c>
      <x:c r="B15" s="44" t="str">
        <x:v>State SC/ST Development Corporation / Industries</x:v>
      </x:c>
      <x:c r="C15" s="44" t="str">
        <x:v>To be researched</x:v>
      </x:c>
      <x:c r="D15" s="34" t="str">
        <x:v>Add state-specific schemes.</x:v>
      </x:c>
    </x:row>
    <x:row r="16" ht="36" customHeight="1">
      <x:c r="A16" s="33" t="str">
        <x:v>Jharkhand</x:v>
      </x:c>
      <x:c r="B16" s="44" t="str">
        <x:v>State Tribal Welfare / Industries portal</x:v>
      </x:c>
      <x:c r="C16" s="44" t="str">
        <x:v>To be researched</x:v>
      </x:c>
      <x:c r="D16" s="34" t="str">
        <x:v>Add tribal enterprise and forest-produce schemes.</x:v>
      </x:c>
    </x:row>
    <x:row r="17" ht="36" customHeight="1">
      <x:c r="A17" s="33" t="str">
        <x:v>Karnataka</x:v>
      </x:c>
      <x:c r="B17" s="44" t="str">
        <x:v>Karnataka Industrial Areas / Social Welfare / ST Corporation</x:v>
      </x:c>
      <x:c r="C17" s="44" t="str">
        <x:v>To be researched</x:v>
      </x:c>
      <x:c r="D17" s="34" t="str">
        <x:v>Add state-specific schemes.</x:v>
      </x:c>
    </x:row>
    <x:row r="18" ht="36" customHeight="1">
      <x:c r="A18" s="33" t="str">
        <x:v>Kerala</x:v>
      </x:c>
      <x:c r="B18" s="44" t="str">
        <x:v>State SC/ST Development Corporation / Industries</x:v>
      </x:c>
      <x:c r="C18" s="44" t="str">
        <x:v>To be researched</x:v>
      </x:c>
      <x:c r="D18" s="34" t="str">
        <x:v>Add state-specific schemes.</x:v>
      </x:c>
    </x:row>
    <x:row r="19" ht="36" customHeight="1">
      <x:c r="A19" s="33" t="str">
        <x:v>Madhya Pradesh</x:v>
      </x:c>
      <x:c r="B19" s="44" t="str">
        <x:v>State SC/ST Finance &amp; Development Corporation / Industries</x:v>
      </x:c>
      <x:c r="C19" s="44" t="str">
        <x:v>To be researched</x:v>
      </x:c>
      <x:c r="D19" s="34" t="str">
        <x:v>Add state-specific schemes.</x:v>
      </x:c>
    </x:row>
    <x:row r="20" ht="36" customHeight="1">
      <x:c r="A20" s="33" t="str">
        <x:v>Maharashtra</x:v>
      </x:c>
      <x:c r="B20" s="44" t="str">
        <x:v>State SC/ST Development Corporation / Industries</x:v>
      </x:c>
      <x:c r="C20" s="44" t="str">
        <x:v>To be researched</x:v>
      </x:c>
      <x:c r="D20" s="34" t="str">
        <x:v>Add state-specific schemes.</x:v>
      </x:c>
    </x:row>
    <x:row r="21" ht="36" customHeight="1">
      <x:c r="A21" s="33" t="str">
        <x:v>Manipur</x:v>
      </x:c>
      <x:c r="B21" s="44" t="str">
        <x:v>State Tribal Welfare / Industries portal</x:v>
      </x:c>
      <x:c r="C21" s="44" t="str">
        <x:v>To be researched</x:v>
      </x:c>
      <x:c r="D21" s="34" t="str">
        <x:v>Add state-specific schemes.</x:v>
      </x:c>
    </x:row>
    <x:row r="22" ht="36" customHeight="1">
      <x:c r="A22" s="33" t="str">
        <x:v>Meghalaya</x:v>
      </x:c>
      <x:c r="B22" s="44" t="str">
        <x:v>State Tribal Welfare / Industries portal</x:v>
      </x:c>
      <x:c r="C22" s="44" t="str">
        <x:v>To be researched</x:v>
      </x:c>
      <x:c r="D22" s="34" t="str">
        <x:v>Add state-specific schemes.</x:v>
      </x:c>
    </x:row>
    <x:row r="23" ht="36" customHeight="1">
      <x:c r="A23" s="33" t="str">
        <x:v>Mizoram</x:v>
      </x:c>
      <x:c r="B23" s="44" t="str">
        <x:v>State Tribal Welfare / Industries portal</x:v>
      </x:c>
      <x:c r="C23" s="44" t="str">
        <x:v>To be researched</x:v>
      </x:c>
      <x:c r="D23" s="34" t="str">
        <x:v>Add state-specific schemes.</x:v>
      </x:c>
    </x:row>
    <x:row r="24" ht="36" customHeight="1">
      <x:c r="A24" s="33" t="str">
        <x:v>Nagaland</x:v>
      </x:c>
      <x:c r="B24" s="44" t="str">
        <x:v>State Tribal Welfare / Industries portal</x:v>
      </x:c>
      <x:c r="C24" s="44" t="str">
        <x:v>To be researched</x:v>
      </x:c>
      <x:c r="D24" s="34" t="str">
        <x:v>Add state-specific schemes.</x:v>
      </x:c>
    </x:row>
    <x:row r="25" ht="36" customHeight="1">
      <x:c r="A25" s="33" t="str">
        <x:v>Odisha</x:v>
      </x:c>
      <x:c r="B25" s="44" t="str">
        <x:v>State SC/ST Development / Industries portal</x:v>
      </x:c>
      <x:c r="C25" s="44" t="str">
        <x:v>To be researched</x:v>
      </x:c>
      <x:c r="D25" s="34" t="str">
        <x:v>Add state-specific schemes.</x:v>
      </x:c>
    </x:row>
    <x:row r="26" ht="36" customHeight="1">
      <x:c r="A26" s="33" t="str">
        <x:v>Punjab</x:v>
      </x:c>
      <x:c r="B26" s="44" t="str">
        <x:v>State SC Corporation / Industries portal</x:v>
      </x:c>
      <x:c r="C26" s="44" t="str">
        <x:v>To be researched</x:v>
      </x:c>
      <x:c r="D26" s="34" t="str">
        <x:v>Add state-specific schemes.</x:v>
      </x:c>
    </x:row>
    <x:row r="27" ht="36" customHeight="1">
      <x:c r="A27" s="33" t="str">
        <x:v>Rajasthan</x:v>
      </x:c>
      <x:c r="B27" s="44" t="str">
        <x:v>State SC/ST Development / Industries portal</x:v>
      </x:c>
      <x:c r="C27" s="44" t="str">
        <x:v>To be researched</x:v>
      </x:c>
      <x:c r="D27" s="34" t="str">
        <x:v>Add state-specific schemes.</x:v>
      </x:c>
    </x:row>
    <x:row r="28" ht="36" customHeight="1">
      <x:c r="A28" s="33" t="str">
        <x:v>Sikkim</x:v>
      </x:c>
      <x:c r="B28" s="44" t="str">
        <x:v>State Tribal Welfare / Industries portal</x:v>
      </x:c>
      <x:c r="C28" s="44" t="str">
        <x:v>To be researched</x:v>
      </x:c>
      <x:c r="D28" s="34" t="str">
        <x:v>Add state-specific schemes.</x:v>
      </x:c>
    </x:row>
    <x:row r="29" ht="36" customHeight="1">
      <x:c r="A29" s="33" t="str">
        <x:v>Tamil Nadu</x:v>
      </x:c>
      <x:c r="B29" s="44" t="str">
        <x:v>State Adi Dravidar / Tribal Welfare / Industries</x:v>
      </x:c>
      <x:c r="C29" s="44" t="str">
        <x:v>To be researched</x:v>
      </x:c>
      <x:c r="D29" s="34" t="str">
        <x:v>Add state-specific schemes.</x:v>
      </x:c>
    </x:row>
    <x:row r="30" ht="36" customHeight="1">
      <x:c r="A30" s="33" t="str">
        <x:v>Telangana</x:v>
      </x:c>
      <x:c r="B30" s="44" t="str">
        <x:v>State SC/ST Development / Industries portal</x:v>
      </x:c>
      <x:c r="C30" s="44" t="str">
        <x:v>To be researched</x:v>
      </x:c>
      <x:c r="D30" s="34" t="str">
        <x:v>Add state-specific schemes.</x:v>
      </x:c>
    </x:row>
    <x:row r="31" ht="36" customHeight="1">
      <x:c r="A31" s="33" t="str">
        <x:v>Tripura</x:v>
      </x:c>
      <x:c r="B31" s="44" t="str">
        <x:v>State Tribal Welfare / Industries portal</x:v>
      </x:c>
      <x:c r="C31" s="44" t="str">
        <x:v>To be researched</x:v>
      </x:c>
      <x:c r="D31" s="34" t="str">
        <x:v>Add state-specific schemes.</x:v>
      </x:c>
    </x:row>
    <x:row r="32" ht="36" customHeight="1">
      <x:c r="A32" s="33" t="str">
        <x:v>Uttar Pradesh</x:v>
      </x:c>
      <x:c r="B32" s="44" t="str">
        <x:v>State SC Finance / Industries portal</x:v>
      </x:c>
      <x:c r="C32" s="44" t="str">
        <x:v>To be researched</x:v>
      </x:c>
      <x:c r="D32" s="34" t="str">
        <x:v>Add state-specific schemes.</x:v>
      </x:c>
    </x:row>
    <x:row r="33" ht="36" customHeight="1">
      <x:c r="A33" s="33" t="str">
        <x:v>Uttarakhand</x:v>
      </x:c>
      <x:c r="B33" s="44" t="str">
        <x:v>State SC/ST Development / Industries portal</x:v>
      </x:c>
      <x:c r="C33" s="44" t="str">
        <x:v>To be researched</x:v>
      </x:c>
      <x:c r="D33" s="34" t="str">
        <x:v>Add state-specific schemes.</x:v>
      </x:c>
    </x:row>
    <x:row r="34" ht="36" customHeight="1">
      <x:c r="A34" s="33" t="str">
        <x:v>West Bengal</x:v>
      </x:c>
      <x:c r="B34" s="44" t="str">
        <x:v>State SC/ST Development / Industries portal</x:v>
      </x:c>
      <x:c r="C34" s="44" t="str">
        <x:v>To be researched</x:v>
      </x:c>
      <x:c r="D34" s="34" t="str">
        <x:v>Add state-specific schemes.</x:v>
      </x:c>
    </x:row>
    <x:row r="35" ht="36" customHeight="1">
      <x:c r="A35" s="33" t="str">
        <x:v>Andaman and Nicobar Islands</x:v>
      </x:c>
      <x:c r="B35" s="44" t="str">
        <x:v>UT Social Welfare / Industries portal</x:v>
      </x:c>
      <x:c r="C35" s="44" t="str">
        <x:v>To be researched</x:v>
      </x:c>
      <x:c r="D35" s="34" t="str">
        <x:v>Add UT-specific schemes.</x:v>
      </x:c>
    </x:row>
    <x:row r="36" ht="36" customHeight="1">
      <x:c r="A36" s="33" t="str">
        <x:v>Chandigarh</x:v>
      </x:c>
      <x:c r="B36" s="44" t="str">
        <x:v>UT Social Welfare / Industries portal</x:v>
      </x:c>
      <x:c r="C36" s="44" t="str">
        <x:v>To be researched</x:v>
      </x:c>
      <x:c r="D36" s="34" t="str">
        <x:v>Add UT-specific schemes.</x:v>
      </x:c>
    </x:row>
    <x:row r="37" ht="36" customHeight="1">
      <x:c r="A37" s="33" t="str">
        <x:v>Dadra and Nagar Haveli and Daman and Diu</x:v>
      </x:c>
      <x:c r="B37" s="44" t="str">
        <x:v>UT Tribal / Industries portal</x:v>
      </x:c>
      <x:c r="C37" s="44" t="str">
        <x:v>To be researched</x:v>
      </x:c>
      <x:c r="D37" s="34" t="str">
        <x:v>Add UT-specific schemes.</x:v>
      </x:c>
    </x:row>
    <x:row r="38" ht="36" customHeight="1">
      <x:c r="A38" s="33" t="str">
        <x:v>Jammu and Kashmir</x:v>
      </x:c>
      <x:c r="B38" s="44" t="str">
        <x:v>UT SC/ST / Industries portal</x:v>
      </x:c>
      <x:c r="C38" s="44" t="str">
        <x:v>To be researched</x:v>
      </x:c>
      <x:c r="D38" s="34" t="str">
        <x:v>Add UT-specific schemes.</x:v>
      </x:c>
    </x:row>
    <x:row r="39" ht="36" customHeight="1">
      <x:c r="A39" s="33" t="str">
        <x:v>Ladakh</x:v>
      </x:c>
      <x:c r="B39" s="44" t="str">
        <x:v>UT Tribal / Industries portal</x:v>
      </x:c>
      <x:c r="C39" s="44" t="str">
        <x:v>To be researched</x:v>
      </x:c>
      <x:c r="D39" s="34" t="str">
        <x:v>Add UT-specific schemes.</x:v>
      </x:c>
    </x:row>
    <x:row r="40" ht="36" customHeight="1">
      <x:c r="A40" s="33" t="str">
        <x:v>Lakshadweep</x:v>
      </x:c>
      <x:c r="B40" s="44" t="str">
        <x:v>UT Tribal / Industries portal</x:v>
      </x:c>
      <x:c r="C40" s="44" t="str">
        <x:v>To be researched</x:v>
      </x:c>
      <x:c r="D40" s="34" t="str">
        <x:v>Add UT-specific schemes.</x:v>
      </x:c>
    </x:row>
    <x:row r="41" ht="36" customHeight="1">
      <x:c r="A41" s="35" t="str">
        <x:v>Puducherry</x:v>
      </x:c>
      <x:c r="B41" s="45" t="str">
        <x:v>UT Adi Dravidar / Industries portal</x:v>
      </x:c>
      <x:c r="C41" s="45" t="str">
        <x:v>To be researched</x:v>
      </x:c>
      <x:c r="D41" s="36" t="str">
        <x:v>Add UT-specific schemes.</x:v>
      </x:c>
    </x:row>
  </x:sheetData>
  <x:mergeCells>
    <x:mergeCell ref="A1:D1"/>
    <x:mergeCell ref="A2:D2"/>
  </x:mergeCells>
  <x:conditionalFormatting sqref="C6:C41">
    <x:cfRule type="containsText" dxfId="8" priority="1" operator="containsText" text="To be researched"/>
  </x:conditionalFormatting>
  <x:dataValidations count="1">
    <x:dataValidation type="list" sqref="C6:C41">
      <x:formula1>"To be researched,In progress,Verified,Not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f7834e75874696"/>
  </x:tableParts>
</x:worksheet>
</file>